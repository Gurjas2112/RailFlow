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Station" sheetId="2" state="visible" r:id="rId4"/>
    <sheet name="Timetable as scheduled" sheetId="3" state="visible" r:id="rId5"/>
    <sheet name="Timetable conflict-free" sheetId="4" state="visible" r:id="rId6"/>
    <sheet name="Answer key" sheetId="5" state="visible" r:id="rId7"/>
    <sheet name="Demo script" sheetId="6" state="visible" r:id="rId8"/>
  </sheets>
  <definedNames>
    <definedName function="false" hidden="false" name="MaxHold" vbProcedure="false">Station!$B$5</definedName>
    <definedName function="false" hidden="false" name="MinClearance" vbProcedure="false">Station!$B$4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4" authorId="0">
      <text>
        <r>
          <rPr>
            <sz val="10"/>
            <rFont val="Arial"/>
            <family val="2"/>
          </rPr>
          <t xml:space="preserve">Named cell: MinClearance. Importers and formulas use the name, not the coordinate.</t>
        </r>
      </text>
    </comment>
    <comment ref="B4" authorId="0">
      <text>
        <r>
          <rPr>
            <sz val="10"/>
            <rFont val="Arial"/>
            <family val="2"/>
          </rPr>
          <t xml:space="preserve">Minutes a PF stays blocked after a departure. Demo assumption (SPEC §6).</t>
        </r>
      </text>
    </comment>
    <comment ref="B5" authorId="0">
      <text>
        <r>
          <rPr>
            <sz val="10"/>
            <rFont val="Arial"/>
            <family val="2"/>
          </rPr>
          <t xml:space="preserve">Longest the planner may hold a train before reporting it UNASSIGNED. Demo assumption.</t>
        </r>
      </text>
    </comment>
  </commentList>
</comments>
</file>

<file path=xl/sharedStrings.xml><?xml version="1.0" encoding="utf-8"?>
<sst xmlns="http://schemas.openxmlformats.org/spreadsheetml/2006/main" count="635" uniqueCount="182">
  <si>
    <t xml:space="preserve">RailFlow demo working timetable — Shivneri Junction (SVNJ), fictional</t>
  </si>
  <si>
    <t xml:space="preserve">What this is</t>
  </si>
  <si>
    <t xml:space="preserve">A station working timetable in Indian Railways layout. Upload it in RailFlow (Scenario → Upload timetable) and press “Check as scheduled”.</t>
  </si>
  <si>
    <t xml:space="preserve">“Timetable as scheduled” has exactly 3 planted platform conflicts; “Timetable conflict-free” is the same 30 trains with three PFs corrected (see “Answer key”).</t>
  </si>
  <si>
    <t xml:space="preserve">Indian Railways conventions used</t>
  </si>
  <si>
    <t xml:space="preserve">Train No.: 5 digits. 12xxx = Superfast (SF) · 11xxx = Mail/Express (MEX) · 51xxx = Passenger (PAS) · 61xxx = MEMU. Goods paths use GDS-nnnn.</t>
  </si>
  <si>
    <t xml:space="preserve">Type and precedence: SF (1) &gt; MEX (2) &gt; PAS and MEMU (3) &gt; GDS (4). The planner holds lower-precedence trains first.</t>
  </si>
  <si>
    <t xml:space="preserve">Times: 24-hour (hh:mm). Halt (min) = Dep − Arr. All services are through trains halting at SVNJ; originating/terminating rakes are out of scope.</t>
  </si>
  <si>
    <t xml:space="preserve">Dir: DN / UP. From / To: 4-letter station codes (all fictional). Days of run: Daily, or day codes Mon Tue Wed Thu Fri Sat Sun.</t>
  </si>
  <si>
    <t xml:space="preserve">PF: platform number 1–5. A train may use a PF only if the PF is long enough for its coaches (Station sheet). MEMU use the bay PF 5; goods use the loop at PF 4.</t>
  </si>
  <si>
    <t xml:space="preserve">Platform clearance: a PF stays blocked for MinClearance minutes after each departure (named cell on the Station sheet).</t>
  </si>
  <si>
    <t xml:space="preserve">Goods: rake length is in wagons and is checked against the goods-loop capacity (wagons), never against coach length.</t>
  </si>
  <si>
    <t xml:space="preserve">Legend</t>
  </si>
  <si>
    <t xml:space="preserve">Blue text = input you may edit.</t>
  </si>
  <si>
    <t xml:space="preserve">Black text = formula (do not type over it).</t>
  </si>
  <si>
    <t xml:space="preserve">Yellow cell = key station assumption used by formulas.</t>
  </si>
  <si>
    <t xml:space="preserve">All data is fictional: station, codes, names and numbers are invented for the demo. Any match to a real service is coincidental; no real timetable data is used.</t>
  </si>
  <si>
    <t xml:space="preserve">Station — Shivneri Junction (SVNJ), fictional</t>
  </si>
  <si>
    <t xml:space="preserve">Station code</t>
  </si>
  <si>
    <t xml:space="preserve">SVNJ</t>
  </si>
  <si>
    <t xml:space="preserve">Minimum platform clearance (min)</t>
  </si>
  <si>
    <t xml:space="preserve">Maximum hold (min)</t>
  </si>
  <si>
    <t xml:space="preserve">PF</t>
  </si>
  <si>
    <t xml:space="preserve">Length (coaches)</t>
  </si>
  <si>
    <t xml:space="preserve">Goods loop (wagons)</t>
  </si>
  <si>
    <t xml:space="preserve">Use</t>
  </si>
  <si>
    <t xml:space="preserve">Names RailFlow understands (EN · हिं · मर)</t>
  </si>
  <si>
    <t xml:space="preserve">main line · long-distance</t>
  </si>
  <si>
    <t xml:space="preserve">1, PF 1, PF-1, platform 1, platform no. 1, प्लेटफॉर्म 1, प्लेटफॉर्म नंबर 1, प्लॅटफॉर्म 1, फलाट 1</t>
  </si>
  <si>
    <t xml:space="preserve">2, PF 2, PF-2, platform 2, platform no. 2, प्लेटफॉर्म 2, प्लेटफॉर्म नंबर 2, प्लॅटफॉर्म 2, फलाट 2</t>
  </si>
  <si>
    <t xml:space="preserve">main line</t>
  </si>
  <si>
    <t xml:space="preserve">3, PF 3, PF-3, platform 3, platform no. 3, प्लेटफॉर्म 3, प्लेटफॉर्म नंबर 3, प्लॅटफॉर्म 3, फलाट 3</t>
  </si>
  <si>
    <t xml:space="preserve">main line + goods loop</t>
  </si>
  <si>
    <t xml:space="preserve">4, PF 4, PF-4, platform 4, platform no. 4, प्लेटफॉर्म 4, प्लेटफॉर्म नंबर 4, प्लॅटफॉर्म 4, फलाट 4</t>
  </si>
  <si>
    <t xml:space="preserve">bay · MEMU only</t>
  </si>
  <si>
    <t xml:space="preserve">5, PF 5, PF-5, platform 5, platform no. 5, प्लेटफॉर्म 5, प्लेटफॉर्म नंबर 5, प्लॅटफॉर्म 5, फलाट 5</t>
  </si>
  <si>
    <t xml:space="preserve">Train No.</t>
  </si>
  <si>
    <t xml:space="preserve">Train Name</t>
  </si>
  <si>
    <t xml:space="preserve">Type</t>
  </si>
  <si>
    <t xml:space="preserve">From</t>
  </si>
  <si>
    <t xml:space="preserve">To</t>
  </si>
  <si>
    <t xml:space="preserve">Dir</t>
  </si>
  <si>
    <t xml:space="preserve">Arr</t>
  </si>
  <si>
    <t xml:space="preserve">Dep</t>
  </si>
  <si>
    <t xml:space="preserve">Halt (min)</t>
  </si>
  <si>
    <t xml:space="preserve">Sch. PF</t>
  </si>
  <si>
    <t xml:space="preserve">Req. PF</t>
  </si>
  <si>
    <t xml:space="preserve">Allowed PFs</t>
  </si>
  <si>
    <t xml:space="preserve">Coaches</t>
  </si>
  <si>
    <t xml:space="preserve">Wagons</t>
  </si>
  <si>
    <t xml:space="preserve">Days of run</t>
  </si>
  <si>
    <t xml:space="preserve">Priority</t>
  </si>
  <si>
    <t xml:space="preserve">11101</t>
  </si>
  <si>
    <t xml:space="preserve">Ghatmatha Express (fictional)</t>
  </si>
  <si>
    <t xml:space="preserve">MEX</t>
  </si>
  <si>
    <t xml:space="preserve">BMGD</t>
  </si>
  <si>
    <t xml:space="preserve">DGWD</t>
  </si>
  <si>
    <t xml:space="preserve">DN</t>
  </si>
  <si>
    <t xml:space="preserve">1,2,3,4</t>
  </si>
  <si>
    <t xml:space="preserve">Daily</t>
  </si>
  <si>
    <t xml:space="preserve">51102</t>
  </si>
  <si>
    <t xml:space="preserve">Mula Passenger (fictional)</t>
  </si>
  <si>
    <t xml:space="preserve">PAS</t>
  </si>
  <si>
    <t xml:space="preserve">HRGD</t>
  </si>
  <si>
    <t xml:space="preserve">EKLN</t>
  </si>
  <si>
    <t xml:space="preserve">UP</t>
  </si>
  <si>
    <t xml:space="preserve">61103</t>
  </si>
  <si>
    <t xml:space="preserve">Pavana MEMU (fictional)</t>
  </si>
  <si>
    <t xml:space="preserve">MEMU</t>
  </si>
  <si>
    <t xml:space="preserve">PVNG</t>
  </si>
  <si>
    <t xml:space="preserve">5</t>
  </si>
  <si>
    <t xml:space="preserve">11104</t>
  </si>
  <si>
    <t xml:space="preserve">Deccan Ridge Express (fictional)</t>
  </si>
  <si>
    <t xml:space="preserve">GDS-4105</t>
  </si>
  <si>
    <t xml:space="preserve">Plateau Goods (BCN rake) (fictional)</t>
  </si>
  <si>
    <t xml:space="preserve">GDS</t>
  </si>
  <si>
    <t xml:space="preserve">KLGT</t>
  </si>
  <si>
    <t xml:space="preserve">NRGD</t>
  </si>
  <si>
    <t xml:space="preserve">4</t>
  </si>
  <si>
    <t xml:space="preserve">12201</t>
  </si>
  <si>
    <t xml:space="preserve">Sahyadri Crest SF Express (fictional)</t>
  </si>
  <si>
    <t xml:space="preserve">SF</t>
  </si>
  <si>
    <t xml:space="preserve">AMBP</t>
  </si>
  <si>
    <t xml:space="preserve">CNDP</t>
  </si>
  <si>
    <t xml:space="preserve">1,2</t>
  </si>
  <si>
    <t xml:space="preserve">51210</t>
  </si>
  <si>
    <t xml:space="preserve">Indrayani Valley Passenger (fictional)</t>
  </si>
  <si>
    <t xml:space="preserve">61305</t>
  </si>
  <si>
    <t xml:space="preserve">11214</t>
  </si>
  <si>
    <t xml:space="preserve">Konkan Gate Express (fictional)</t>
  </si>
  <si>
    <t xml:space="preserve">61307</t>
  </si>
  <si>
    <t xml:space="preserve">11216</t>
  </si>
  <si>
    <t xml:space="preserve">Bhimashankar Express (fictional)</t>
  </si>
  <si>
    <t xml:space="preserve">51218</t>
  </si>
  <si>
    <t xml:space="preserve">11209</t>
  </si>
  <si>
    <t xml:space="preserve">Shivneri Fort Express (fictional)</t>
  </si>
  <si>
    <t xml:space="preserve">61311</t>
  </si>
  <si>
    <t xml:space="preserve">51219</t>
  </si>
  <si>
    <t xml:space="preserve">Nira Passenger (fictional)</t>
  </si>
  <si>
    <t xml:space="preserve">51214</t>
  </si>
  <si>
    <t xml:space="preserve">Godavari Link Passenger (fictional)</t>
  </si>
  <si>
    <t xml:space="preserve">12222</t>
  </si>
  <si>
    <t xml:space="preserve">51215</t>
  </si>
  <si>
    <t xml:space="preserve">Krishna Passenger (fictional)</t>
  </si>
  <si>
    <t xml:space="preserve">11217</t>
  </si>
  <si>
    <t xml:space="preserve">61317</t>
  </si>
  <si>
    <t xml:space="preserve">51226</t>
  </si>
  <si>
    <t xml:space="preserve">12230</t>
  </si>
  <si>
    <t xml:space="preserve">51222</t>
  </si>
  <si>
    <t xml:space="preserve">11225</t>
  </si>
  <si>
    <t xml:space="preserve">12233</t>
  </si>
  <si>
    <t xml:space="preserve">51234</t>
  </si>
  <si>
    <t xml:space="preserve">61321</t>
  </si>
  <si>
    <t xml:space="preserve">11236</t>
  </si>
  <si>
    <t xml:space="preserve">GDS-4237</t>
  </si>
  <si>
    <t xml:space="preserve">61325</t>
  </si>
  <si>
    <t xml:space="preserve">Trains</t>
  </si>
  <si>
    <t xml:space="preserve">Shortest halt (min)</t>
  </si>
  <si>
    <t xml:space="preserve">Longest halt (min)</t>
  </si>
  <si>
    <t xml:space="preserve">Superfast</t>
  </si>
  <si>
    <t xml:space="preserve">Mail/Express</t>
  </si>
  <si>
    <t xml:space="preserve">Passenger</t>
  </si>
  <si>
    <t xml:space="preserve">Goods</t>
  </si>
  <si>
    <t xml:space="preserve">Expected conflicts in “Timetable as scheduled”</t>
  </si>
  <si>
    <t xml:space="preserve">All values are formulas over the timetable and the named cell MinClearance. RailFlow's validator must report the same three pairs and the same three measures.</t>
  </si>
  <si>
    <t xml:space="preserve">Actual stay overlap = time both trains are at the PF. Clearance shortfall = minutes missing from the required gap (only when stays do not overlap). Reserved-interval overlap = overlap of [arr, dep + clearance) — the quantity the planner and validator use for feasibility.</t>
  </si>
  <si>
    <t xml:space="preserve">Rule</t>
  </si>
  <si>
    <t xml:space="preserve">Earlier train</t>
  </si>
  <si>
    <t xml:space="preserve">Later train</t>
  </si>
  <si>
    <t xml:space="preserve">Earlier arr</t>
  </si>
  <si>
    <t xml:space="preserve">Earlier dep</t>
  </si>
  <si>
    <t xml:space="preserve">Later arr</t>
  </si>
  <si>
    <t xml:space="preserve">Later dep</t>
  </si>
  <si>
    <t xml:space="preserve">Clearance (min)</t>
  </si>
  <si>
    <t xml:space="preserve">Actual stay overlap (min)</t>
  </si>
  <si>
    <t xml:space="preserve">Clearance shortfall (min)</t>
  </si>
  <si>
    <t xml:space="preserve">Reserved-interval overlap (min)</t>
  </si>
  <si>
    <t xml:space="preserve">RailFlow should show</t>
  </si>
  <si>
    <t xml:space="preserve">GAP_VIOLATION</t>
  </si>
  <si>
    <t xml:space="preserve">OVERLAP</t>
  </si>
  <si>
    <t xml:space="preserve">Total conflicts</t>
  </si>
  <si>
    <t xml:space="preserve">Step</t>
  </si>
  <si>
    <t xml:space="preserve">Scenario</t>
  </si>
  <si>
    <t xml:space="preserve">Do this</t>
  </si>
  <si>
    <t xml:space="preserve">Expect</t>
  </si>
  <si>
    <t xml:space="preserve">1</t>
  </si>
  <si>
    <t xml:space="preserve">S1 Normal</t>
  </si>
  <si>
    <t xml:space="preserve">Load “Timetable conflict-free”, press Assign platforms</t>
  </si>
  <si>
    <t xml:space="preserve">Validator green, 0 holds</t>
  </si>
  <si>
    <t xml:space="preserve">2</t>
  </si>
  <si>
    <t xml:space="preserve">S3 Conflicts</t>
  </si>
  <si>
    <t xml:space="preserve">Upload this workbook, pick “Timetable as scheduled”, press Check as scheduled</t>
  </si>
  <si>
    <t xml:space="preserve">3 conflicts exactly as in Answer key</t>
  </si>
  <si>
    <t xml:space="preserve">3</t>
  </si>
  <si>
    <t xml:space="preserve">S2 Radio report (now = 13:50)</t>
  </si>
  <si>
    <t xml:space="preserve">Set now to 13:50, then play radio_s2_en.wav (or press Radio and play it) → transcript → Parse → Confirm</t>
  </si>
  <si>
    <t xml:space="preserve">Arrival delay 11209 +30 · closure PF 3 14:00–15:30 → affected 3 of 30 (11209, 51219, 11217); both objectives agree because the closure forces all three moves. At 14:05 the same message is rejected: 11209 is already at PF 3.</t>
  </si>
  <si>
    <t xml:space="preserve">S4 Unknown</t>
  </si>
  <si>
    <t xml:space="preserve">Type “11299 delayed 20 min”</t>
  </si>
  <si>
    <t xml:space="preserve">Rejected: not in today’s timetable</t>
  </si>
  <si>
    <t xml:space="preserve">S5 Fault</t>
  </si>
  <si>
    <t xml:space="preserve">Tick Inject planner fault, plan again</t>
  </si>
  <si>
    <t xml:space="preserve">Revision NOT VALID, Apply disabled</t>
  </si>
  <si>
    <t xml:space="preserve">6</t>
  </si>
  <si>
    <t xml:space="preserve">S6 Peak</t>
  </si>
  <si>
    <t xml:space="preserve">Load peak timetable, close PF 2 and PF 4 15:00–16:30</t>
  </si>
  <si>
    <t xml:space="preserve">Some trains UNASSIGNED with reasons, plan still valid</t>
  </si>
  <si>
    <t xml:space="preserve">7</t>
  </si>
  <si>
    <t xml:space="preserve">S7 AI off</t>
  </si>
  <si>
    <t xml:space="preserve">Quit Ollama, repeat step 3</t>
  </si>
  <si>
    <t xml:space="preserve">parser: regex · explainer: template · still works</t>
  </si>
  <si>
    <t xml:space="preserve">7b</t>
  </si>
  <si>
    <t xml:space="preserve">S8 Cascade</t>
  </si>
  <si>
    <t xml:space="preserve">Load “Timetable conflict-free”, set now 14:10, enter “51218 held at PF 2, departure 25 min late” and “PF 3 closed 14:30 to 15:10”</t>
  </si>
  <si>
    <t xml:space="preserve">Affected 4 of 30 (51218, 51215, 51219, 11217), 26 unchanged. Min-delay: 2 moves, weighted delay 76. Min-changes: 1 move, weighted delay 136. Chain: 51218 departs late → 51215 waits 15 min on PF 2.</t>
  </si>
  <si>
    <t xml:space="preserve">—</t>
  </si>
  <si>
    <t xml:space="preserve">Radio transcript (EN)</t>
  </si>
  <si>
    <t xml:space="preserve">“Shivneri control, section controller here. Train 11209, Shivneri Fort Express, running 30 minutes late. Platform 3 shut, 14:00 to 15:30, for track inspection. Over.”</t>
  </si>
  <si>
    <t xml:space="preserve">Spoken as: train one one two zero nine … fourteen hundred to fifteen thirty</t>
  </si>
  <si>
    <t xml:space="preserve">Radio transcript (हिं)</t>
  </si>
  <si>
    <t xml:space="preserve">“शिवनेरी कंट्रोल, गाड़ी संख्या 11209 तीस मिनट देरी से चल रही है। प्लेटफॉर्म 3 दो बजे से साढ़े तीन बजे तक बंद। ओवर।”</t>
  </si>
  <si>
    <t xml:space="preserve">Devanagari path (LLM parser)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</si>
</sst>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hh:mm"/>
    <numFmt numFmtId="166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  <font>
      <i val="true"/>
      <sz val="11"/>
      <color rgb="FF66666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3A4D"/>
        <bgColor rgb="FF003366"/>
      </patternFill>
    </fill>
    <fill>
      <patternFill patternType="solid">
        <fgColor rgb="FFF3F6F8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9D2D9"/>
      </left>
      <right style="thin">
        <color rgb="FFC9D2D9"/>
      </right>
      <top style="thin">
        <color rgb="FFC9D2D9"/>
      </top>
      <bottom style="thin">
        <color rgb="FFC9D2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7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3F6F8"/>
      <rgbColor rgb="FFCCFFFF"/>
      <rgbColor rgb="FF660066"/>
      <rgbColor rgb="FFFF8080"/>
      <rgbColor rgb="FF0066CC"/>
      <rgbColor rgb="FFC9D2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3A4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5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3" t="s">
        <v>1</v>
      </c>
    </row>
    <row r="4" customFormat="false" ht="26.85" hidden="false" customHeight="false" outlineLevel="0" collapsed="false">
      <c r="A4" s="4" t="s">
        <v>2</v>
      </c>
    </row>
    <row r="5" customFormat="false" ht="26.85" hidden="false" customHeight="false" outlineLevel="0" collapsed="false">
      <c r="A5" s="4" t="s">
        <v>3</v>
      </c>
    </row>
    <row r="6" customFormat="false" ht="15" hidden="false" customHeight="false" outlineLevel="0" collapsed="false">
      <c r="A6" s="2"/>
    </row>
    <row r="7" customFormat="false" ht="15" hidden="false" customHeight="false" outlineLevel="0" collapsed="false">
      <c r="A7" s="3" t="s">
        <v>4</v>
      </c>
    </row>
    <row r="8" customFormat="false" ht="26.85" hidden="false" customHeight="false" outlineLevel="0" collapsed="false">
      <c r="A8" s="4" t="s">
        <v>5</v>
      </c>
    </row>
    <row r="9" customFormat="false" ht="15" hidden="false" customHeight="false" outlineLevel="0" collapsed="false">
      <c r="A9" s="4" t="s">
        <v>6</v>
      </c>
    </row>
    <row r="10" customFormat="false" ht="26.85" hidden="false" customHeight="false" outlineLevel="0" collapsed="false">
      <c r="A10" s="4" t="s">
        <v>7</v>
      </c>
    </row>
    <row r="11" customFormat="false" ht="15" hidden="false" customHeight="false" outlineLevel="0" collapsed="false">
      <c r="A11" s="4" t="s">
        <v>8</v>
      </c>
    </row>
    <row r="12" customFormat="false" ht="26.85" hidden="false" customHeight="false" outlineLevel="0" collapsed="false">
      <c r="A12" s="4" t="s">
        <v>9</v>
      </c>
    </row>
    <row r="13" customFormat="false" ht="15" hidden="false" customHeight="false" outlineLevel="0" collapsed="false">
      <c r="A13" s="4" t="s">
        <v>10</v>
      </c>
    </row>
    <row r="14" customFormat="false" ht="15" hidden="false" customHeight="false" outlineLevel="0" collapsed="false">
      <c r="A14" s="4" t="s">
        <v>11</v>
      </c>
    </row>
    <row r="15" customFormat="false" ht="15" hidden="false" customHeight="false" outlineLevel="0" collapsed="false">
      <c r="A15" s="2"/>
    </row>
    <row r="16" customFormat="false" ht="15" hidden="false" customHeight="false" outlineLevel="0" collapsed="false">
      <c r="A16" s="3" t="s">
        <v>12</v>
      </c>
    </row>
    <row r="17" customFormat="false" ht="15" hidden="false" customHeight="false" outlineLevel="0" collapsed="false">
      <c r="A17" s="5" t="s">
        <v>13</v>
      </c>
    </row>
    <row r="18" customFormat="false" ht="15" hidden="false" customHeight="false" outlineLevel="0" collapsed="false">
      <c r="A18" s="4" t="s">
        <v>14</v>
      </c>
    </row>
    <row r="19" customFormat="false" ht="15" hidden="false" customHeight="false" outlineLevel="0" collapsed="false">
      <c r="A19" s="4" t="s">
        <v>15</v>
      </c>
    </row>
    <row r="20" customFormat="false" ht="15" hidden="false" customHeight="false" outlineLevel="0" collapsed="false">
      <c r="A20" s="2"/>
    </row>
    <row r="21" customFormat="false" ht="26.85" hidden="false" customHeight="false" outlineLevel="0" collapsed="false">
      <c r="A21" s="6" t="s">
        <v>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6"/>
    <col collapsed="false" customWidth="true" hidden="false" outlineLevel="0" max="3" min="3" style="0" width="18"/>
    <col collapsed="false" customWidth="true" hidden="false" outlineLevel="0" max="4" min="4" style="0" width="28"/>
    <col collapsed="false" customWidth="true" hidden="false" outlineLevel="0" max="5" min="5" style="0" width="90"/>
  </cols>
  <sheetData>
    <row r="1" customFormat="false" ht="17.35" hidden="false" customHeight="false" outlineLevel="0" collapsed="false">
      <c r="A1" s="7" t="s">
        <v>17</v>
      </c>
    </row>
    <row r="3" customFormat="false" ht="15" hidden="false" customHeight="false" outlineLevel="0" collapsed="false">
      <c r="A3" s="8" t="s">
        <v>18</v>
      </c>
      <c r="B3" s="9" t="s">
        <v>19</v>
      </c>
    </row>
    <row r="4" customFormat="false" ht="15" hidden="false" customHeight="false" outlineLevel="0" collapsed="false">
      <c r="A4" s="8" t="s">
        <v>20</v>
      </c>
      <c r="B4" s="10" t="n">
        <v>5</v>
      </c>
    </row>
    <row r="5" customFormat="false" ht="15" hidden="false" customHeight="false" outlineLevel="0" collapsed="false">
      <c r="A5" s="8" t="s">
        <v>21</v>
      </c>
      <c r="B5" s="10" t="n">
        <v>45</v>
      </c>
    </row>
    <row r="8" customFormat="false" ht="31.5" hidden="false" customHeight="true" outlineLevel="0" collapsed="false">
      <c r="A8" s="11" t="s">
        <v>22</v>
      </c>
      <c r="B8" s="11" t="s">
        <v>23</v>
      </c>
      <c r="C8" s="11" t="s">
        <v>24</v>
      </c>
      <c r="D8" s="11" t="s">
        <v>25</v>
      </c>
      <c r="E8" s="11" t="s">
        <v>26</v>
      </c>
    </row>
    <row r="9" customFormat="false" ht="15" hidden="false" customHeight="false" outlineLevel="0" collapsed="false">
      <c r="A9" s="12" t="n">
        <v>1</v>
      </c>
      <c r="B9" s="12" t="n">
        <v>26</v>
      </c>
      <c r="C9" s="12" t="n">
        <v>0</v>
      </c>
      <c r="D9" s="12" t="s">
        <v>27</v>
      </c>
      <c r="E9" s="13" t="s">
        <v>28</v>
      </c>
    </row>
    <row r="10" customFormat="false" ht="15" hidden="false" customHeight="false" outlineLevel="0" collapsed="false">
      <c r="A10" s="12" t="n">
        <v>2</v>
      </c>
      <c r="B10" s="12" t="n">
        <v>26</v>
      </c>
      <c r="C10" s="12" t="n">
        <v>0</v>
      </c>
      <c r="D10" s="12" t="s">
        <v>27</v>
      </c>
      <c r="E10" s="13" t="s">
        <v>29</v>
      </c>
    </row>
    <row r="11" customFormat="false" ht="15" hidden="false" customHeight="false" outlineLevel="0" collapsed="false">
      <c r="A11" s="12" t="n">
        <v>3</v>
      </c>
      <c r="B11" s="12" t="n">
        <v>24</v>
      </c>
      <c r="C11" s="12" t="n">
        <v>0</v>
      </c>
      <c r="D11" s="12" t="s">
        <v>30</v>
      </c>
      <c r="E11" s="13" t="s">
        <v>31</v>
      </c>
    </row>
    <row r="12" customFormat="false" ht="15" hidden="false" customHeight="false" outlineLevel="0" collapsed="false">
      <c r="A12" s="12" t="n">
        <v>4</v>
      </c>
      <c r="B12" s="12" t="n">
        <v>24</v>
      </c>
      <c r="C12" s="12" t="n">
        <v>60</v>
      </c>
      <c r="D12" s="12" t="s">
        <v>32</v>
      </c>
      <c r="E12" s="13" t="s">
        <v>33</v>
      </c>
    </row>
    <row r="13" customFormat="false" ht="15" hidden="false" customHeight="false" outlineLevel="0" collapsed="false">
      <c r="A13" s="12" t="n">
        <v>5</v>
      </c>
      <c r="B13" s="12" t="n">
        <v>12</v>
      </c>
      <c r="C13" s="12" t="n">
        <v>0</v>
      </c>
      <c r="D13" s="12" t="s">
        <v>34</v>
      </c>
      <c r="E13" s="13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32"/>
    <col collapsed="false" customWidth="true" hidden="false" outlineLevel="0" max="5" min="3" style="0" width="7"/>
    <col collapsed="false" customWidth="true" hidden="false" outlineLevel="0" max="6" min="6" style="0" width="6"/>
    <col collapsed="false" customWidth="true" hidden="false" outlineLevel="0" max="8" min="7" style="0" width="8"/>
    <col collapsed="false" customWidth="true" hidden="false" outlineLevel="0" max="9" min="9" style="0" width="9"/>
    <col collapsed="false" customWidth="true" hidden="false" outlineLevel="0" max="11" min="10" style="0" width="8"/>
    <col collapsed="false" customWidth="true" hidden="false" outlineLevel="0" max="12" min="12" style="0" width="12"/>
    <col collapsed="false" customWidth="true" hidden="false" outlineLevel="0" max="14" min="13" style="0" width="9"/>
    <col collapsed="false" customWidth="true" hidden="false" outlineLevel="0" max="15" min="15" style="0" width="12"/>
    <col collapsed="false" customWidth="true" hidden="false" outlineLevel="0" max="16" min="16" style="0" width="9"/>
  </cols>
  <sheetData>
    <row r="1" customFormat="false" ht="31.5" hidden="false" customHeight="true" outlineLevel="0" collapsed="false">
      <c r="A1" s="11" t="s">
        <v>36</v>
      </c>
      <c r="B1" s="11" t="s">
        <v>37</v>
      </c>
      <c r="C1" s="11" t="s">
        <v>38</v>
      </c>
      <c r="D1" s="11" t="s">
        <v>39</v>
      </c>
      <c r="E1" s="11" t="s">
        <v>40</v>
      </c>
      <c r="F1" s="11" t="s">
        <v>41</v>
      </c>
      <c r="G1" s="11" t="s">
        <v>42</v>
      </c>
      <c r="H1" s="11" t="s">
        <v>43</v>
      </c>
      <c r="I1" s="11" t="s">
        <v>44</v>
      </c>
      <c r="J1" s="11" t="s">
        <v>45</v>
      </c>
      <c r="K1" s="11" t="s">
        <v>46</v>
      </c>
      <c r="L1" s="11" t="s">
        <v>47</v>
      </c>
      <c r="M1" s="11" t="s">
        <v>48</v>
      </c>
      <c r="N1" s="11" t="s">
        <v>49</v>
      </c>
      <c r="O1" s="11" t="s">
        <v>50</v>
      </c>
      <c r="P1" s="11" t="s">
        <v>51</v>
      </c>
    </row>
    <row r="2" customFormat="false" ht="15" hidden="false" customHeight="false" outlineLevel="0" collapsed="false">
      <c r="A2" s="14" t="s">
        <v>52</v>
      </c>
      <c r="B2" s="15" t="s">
        <v>53</v>
      </c>
      <c r="C2" s="14" t="s">
        <v>54</v>
      </c>
      <c r="D2" s="14" t="s">
        <v>55</v>
      </c>
      <c r="E2" s="14" t="s">
        <v>56</v>
      </c>
      <c r="F2" s="14" t="s">
        <v>57</v>
      </c>
      <c r="G2" s="16" t="n">
        <v>0.503472222222222</v>
      </c>
      <c r="H2" s="16" t="n">
        <v>0.510416666666667</v>
      </c>
      <c r="I2" s="17" t="n">
        <f aca="false">ROUND((H2-G2)*1440,0)</f>
        <v>10</v>
      </c>
      <c r="J2" s="14" t="n">
        <v>1</v>
      </c>
      <c r="K2" s="14"/>
      <c r="L2" s="14" t="s">
        <v>58</v>
      </c>
      <c r="M2" s="14" t="n">
        <v>24</v>
      </c>
      <c r="N2" s="14"/>
      <c r="O2" s="14" t="s">
        <v>59</v>
      </c>
      <c r="P2" s="14" t="n">
        <v>2</v>
      </c>
    </row>
    <row r="3" customFormat="false" ht="15" hidden="false" customHeight="false" outlineLevel="0" collapsed="false">
      <c r="A3" s="18" t="s">
        <v>60</v>
      </c>
      <c r="B3" s="19" t="s">
        <v>61</v>
      </c>
      <c r="C3" s="18" t="s">
        <v>62</v>
      </c>
      <c r="D3" s="18" t="s">
        <v>63</v>
      </c>
      <c r="E3" s="18" t="s">
        <v>64</v>
      </c>
      <c r="F3" s="18" t="s">
        <v>65</v>
      </c>
      <c r="G3" s="20" t="n">
        <v>0.506944444444444</v>
      </c>
      <c r="H3" s="20" t="n">
        <v>0.519444444444445</v>
      </c>
      <c r="I3" s="21" t="n">
        <f aca="false">ROUND((H3-G3)*1440,0)</f>
        <v>18</v>
      </c>
      <c r="J3" s="18" t="n">
        <v>2</v>
      </c>
      <c r="K3" s="18"/>
      <c r="L3" s="18" t="s">
        <v>58</v>
      </c>
      <c r="M3" s="18" t="n">
        <v>18</v>
      </c>
      <c r="N3" s="18"/>
      <c r="O3" s="18" t="s">
        <v>59</v>
      </c>
      <c r="P3" s="18" t="n">
        <v>3</v>
      </c>
    </row>
    <row r="4" customFormat="false" ht="15" hidden="false" customHeight="false" outlineLevel="0" collapsed="false">
      <c r="A4" s="14" t="s">
        <v>66</v>
      </c>
      <c r="B4" s="15" t="s">
        <v>67</v>
      </c>
      <c r="C4" s="14" t="s">
        <v>68</v>
      </c>
      <c r="D4" s="14" t="s">
        <v>69</v>
      </c>
      <c r="E4" s="14" t="s">
        <v>19</v>
      </c>
      <c r="F4" s="14" t="s">
        <v>57</v>
      </c>
      <c r="G4" s="16" t="n">
        <v>0.510416666666667</v>
      </c>
      <c r="H4" s="16" t="n">
        <v>0.517361111111111</v>
      </c>
      <c r="I4" s="17" t="n">
        <f aca="false">ROUND((H4-G4)*1440,0)</f>
        <v>10</v>
      </c>
      <c r="J4" s="14" t="n">
        <v>5</v>
      </c>
      <c r="K4" s="14" t="n">
        <v>5</v>
      </c>
      <c r="L4" s="14" t="s">
        <v>70</v>
      </c>
      <c r="M4" s="14" t="n">
        <v>12</v>
      </c>
      <c r="N4" s="14"/>
      <c r="O4" s="14" t="s">
        <v>59</v>
      </c>
      <c r="P4" s="14" t="n">
        <v>3</v>
      </c>
    </row>
    <row r="5" customFormat="false" ht="15" hidden="false" customHeight="false" outlineLevel="0" collapsed="false">
      <c r="A5" s="18" t="s">
        <v>71</v>
      </c>
      <c r="B5" s="19" t="s">
        <v>72</v>
      </c>
      <c r="C5" s="18" t="s">
        <v>54</v>
      </c>
      <c r="D5" s="18" t="s">
        <v>56</v>
      </c>
      <c r="E5" s="18" t="s">
        <v>55</v>
      </c>
      <c r="F5" s="18" t="s">
        <v>65</v>
      </c>
      <c r="G5" s="20" t="n">
        <v>0.520833333333333</v>
      </c>
      <c r="H5" s="20" t="n">
        <v>0.529166666666667</v>
      </c>
      <c r="I5" s="21" t="n">
        <f aca="false">ROUND((H5-G5)*1440,0)</f>
        <v>12</v>
      </c>
      <c r="J5" s="18" t="n">
        <v>3</v>
      </c>
      <c r="K5" s="18"/>
      <c r="L5" s="18" t="s">
        <v>58</v>
      </c>
      <c r="M5" s="18" t="n">
        <v>24</v>
      </c>
      <c r="N5" s="18"/>
      <c r="O5" s="18" t="s">
        <v>59</v>
      </c>
      <c r="P5" s="18" t="n">
        <v>2</v>
      </c>
    </row>
    <row r="6" customFormat="false" ht="15" hidden="false" customHeight="false" outlineLevel="0" collapsed="false">
      <c r="A6" s="14" t="s">
        <v>73</v>
      </c>
      <c r="B6" s="15" t="s">
        <v>74</v>
      </c>
      <c r="C6" s="14" t="s">
        <v>75</v>
      </c>
      <c r="D6" s="14" t="s">
        <v>76</v>
      </c>
      <c r="E6" s="14" t="s">
        <v>77</v>
      </c>
      <c r="F6" s="14" t="s">
        <v>57</v>
      </c>
      <c r="G6" s="16" t="n">
        <v>0.527777777777778</v>
      </c>
      <c r="H6" s="16" t="n">
        <v>0.538194444444444</v>
      </c>
      <c r="I6" s="17" t="n">
        <f aca="false">ROUND((H6-G6)*1440,0)</f>
        <v>15</v>
      </c>
      <c r="J6" s="14" t="n">
        <v>4</v>
      </c>
      <c r="K6" s="14"/>
      <c r="L6" s="14" t="s">
        <v>78</v>
      </c>
      <c r="M6" s="14"/>
      <c r="N6" s="14" t="n">
        <v>58</v>
      </c>
      <c r="O6" s="14" t="s">
        <v>59</v>
      </c>
      <c r="P6" s="14" t="n">
        <v>4</v>
      </c>
    </row>
    <row r="7" customFormat="false" ht="15" hidden="false" customHeight="false" outlineLevel="0" collapsed="false">
      <c r="A7" s="18" t="s">
        <v>79</v>
      </c>
      <c r="B7" s="19" t="s">
        <v>80</v>
      </c>
      <c r="C7" s="18" t="s">
        <v>81</v>
      </c>
      <c r="D7" s="18" t="s">
        <v>82</v>
      </c>
      <c r="E7" s="18" t="s">
        <v>83</v>
      </c>
      <c r="F7" s="18" t="s">
        <v>57</v>
      </c>
      <c r="G7" s="20" t="n">
        <v>0.545138888888889</v>
      </c>
      <c r="H7" s="20" t="n">
        <v>0.552083333333333</v>
      </c>
      <c r="I7" s="21" t="n">
        <f aca="false">ROUND((H7-G7)*1440,0)</f>
        <v>10</v>
      </c>
      <c r="J7" s="18" t="n">
        <v>1</v>
      </c>
      <c r="K7" s="18"/>
      <c r="L7" s="18" t="s">
        <v>84</v>
      </c>
      <c r="M7" s="18" t="n">
        <v>26</v>
      </c>
      <c r="N7" s="18"/>
      <c r="O7" s="18" t="s">
        <v>59</v>
      </c>
      <c r="P7" s="18" t="n">
        <v>1</v>
      </c>
    </row>
    <row r="8" customFormat="false" ht="15" hidden="false" customHeight="false" outlineLevel="0" collapsed="false">
      <c r="A8" s="14" t="s">
        <v>85</v>
      </c>
      <c r="B8" s="15" t="s">
        <v>86</v>
      </c>
      <c r="C8" s="14" t="s">
        <v>62</v>
      </c>
      <c r="D8" s="14" t="s">
        <v>63</v>
      </c>
      <c r="E8" s="14" t="s">
        <v>64</v>
      </c>
      <c r="F8" s="14" t="s">
        <v>65</v>
      </c>
      <c r="G8" s="16" t="n">
        <v>0.548611111111111</v>
      </c>
      <c r="H8" s="16" t="n">
        <v>0.5625</v>
      </c>
      <c r="I8" s="17" t="n">
        <f aca="false">ROUND((H8-G8)*1440,0)</f>
        <v>20</v>
      </c>
      <c r="J8" s="14" t="n">
        <v>2</v>
      </c>
      <c r="K8" s="14"/>
      <c r="L8" s="14" t="s">
        <v>58</v>
      </c>
      <c r="M8" s="14" t="n">
        <v>18</v>
      </c>
      <c r="N8" s="14"/>
      <c r="O8" s="14" t="s">
        <v>59</v>
      </c>
      <c r="P8" s="14" t="n">
        <v>3</v>
      </c>
    </row>
    <row r="9" customFormat="false" ht="15" hidden="false" customHeight="false" outlineLevel="0" collapsed="false">
      <c r="A9" s="18" t="s">
        <v>87</v>
      </c>
      <c r="B9" s="19" t="s">
        <v>67</v>
      </c>
      <c r="C9" s="18" t="s">
        <v>68</v>
      </c>
      <c r="D9" s="18" t="s">
        <v>69</v>
      </c>
      <c r="E9" s="18" t="s">
        <v>19</v>
      </c>
      <c r="F9" s="18" t="s">
        <v>57</v>
      </c>
      <c r="G9" s="20" t="n">
        <v>0.555555555555556</v>
      </c>
      <c r="H9" s="20" t="n">
        <v>0.5625</v>
      </c>
      <c r="I9" s="21" t="n">
        <f aca="false">ROUND((H9-G9)*1440,0)</f>
        <v>10</v>
      </c>
      <c r="J9" s="18" t="n">
        <v>5</v>
      </c>
      <c r="K9" s="18" t="n">
        <v>5</v>
      </c>
      <c r="L9" s="18" t="s">
        <v>70</v>
      </c>
      <c r="M9" s="18" t="n">
        <v>12</v>
      </c>
      <c r="N9" s="18"/>
      <c r="O9" s="18" t="s">
        <v>59</v>
      </c>
      <c r="P9" s="18" t="n">
        <v>3</v>
      </c>
    </row>
    <row r="10" customFormat="false" ht="15" hidden="false" customHeight="false" outlineLevel="0" collapsed="false">
      <c r="A10" s="14" t="s">
        <v>88</v>
      </c>
      <c r="B10" s="15" t="s">
        <v>89</v>
      </c>
      <c r="C10" s="14" t="s">
        <v>54</v>
      </c>
      <c r="D10" s="14" t="s">
        <v>56</v>
      </c>
      <c r="E10" s="14" t="s">
        <v>55</v>
      </c>
      <c r="F10" s="14" t="s">
        <v>65</v>
      </c>
      <c r="G10" s="16" t="n">
        <v>0.569444444444444</v>
      </c>
      <c r="H10" s="16" t="n">
        <v>0.579861111111111</v>
      </c>
      <c r="I10" s="17" t="n">
        <f aca="false">ROUND((H10-G10)*1440,0)</f>
        <v>15</v>
      </c>
      <c r="J10" s="14" t="n">
        <v>1</v>
      </c>
      <c r="K10" s="14"/>
      <c r="L10" s="14" t="s">
        <v>58</v>
      </c>
      <c r="M10" s="14" t="n">
        <v>24</v>
      </c>
      <c r="N10" s="14"/>
      <c r="O10" s="14" t="s">
        <v>59</v>
      </c>
      <c r="P10" s="14" t="n">
        <v>2</v>
      </c>
    </row>
    <row r="11" customFormat="false" ht="15" hidden="false" customHeight="false" outlineLevel="0" collapsed="false">
      <c r="A11" s="18" t="s">
        <v>90</v>
      </c>
      <c r="B11" s="19" t="s">
        <v>67</v>
      </c>
      <c r="C11" s="18" t="s">
        <v>68</v>
      </c>
      <c r="D11" s="18" t="s">
        <v>69</v>
      </c>
      <c r="E11" s="18" t="s">
        <v>19</v>
      </c>
      <c r="F11" s="18" t="s">
        <v>57</v>
      </c>
      <c r="G11" s="20" t="n">
        <v>0.572916666666667</v>
      </c>
      <c r="H11" s="20" t="n">
        <v>0.579861111111111</v>
      </c>
      <c r="I11" s="21" t="n">
        <f aca="false">ROUND((H11-G11)*1440,0)</f>
        <v>10</v>
      </c>
      <c r="J11" s="18" t="n">
        <v>5</v>
      </c>
      <c r="K11" s="18" t="n">
        <v>5</v>
      </c>
      <c r="L11" s="18" t="s">
        <v>70</v>
      </c>
      <c r="M11" s="18" t="n">
        <v>12</v>
      </c>
      <c r="N11" s="18"/>
      <c r="O11" s="18" t="s">
        <v>59</v>
      </c>
      <c r="P11" s="18" t="n">
        <v>3</v>
      </c>
    </row>
    <row r="12" customFormat="false" ht="15" hidden="false" customHeight="false" outlineLevel="0" collapsed="false">
      <c r="A12" s="14" t="s">
        <v>91</v>
      </c>
      <c r="B12" s="15" t="s">
        <v>92</v>
      </c>
      <c r="C12" s="14" t="s">
        <v>54</v>
      </c>
      <c r="D12" s="14" t="s">
        <v>56</v>
      </c>
      <c r="E12" s="14" t="s">
        <v>55</v>
      </c>
      <c r="F12" s="14" t="s">
        <v>65</v>
      </c>
      <c r="G12" s="16" t="n">
        <v>0.581944444444445</v>
      </c>
      <c r="H12" s="16" t="n">
        <v>0.588888888888889</v>
      </c>
      <c r="I12" s="17" t="n">
        <f aca="false">ROUND((H12-G12)*1440,0)</f>
        <v>10</v>
      </c>
      <c r="J12" s="14" t="n">
        <v>1</v>
      </c>
      <c r="K12" s="14"/>
      <c r="L12" s="14" t="s">
        <v>58</v>
      </c>
      <c r="M12" s="14" t="n">
        <v>24</v>
      </c>
      <c r="N12" s="14"/>
      <c r="O12" s="14" t="s">
        <v>59</v>
      </c>
      <c r="P12" s="14" t="n">
        <v>2</v>
      </c>
    </row>
    <row r="13" customFormat="false" ht="15" hidden="false" customHeight="false" outlineLevel="0" collapsed="false">
      <c r="A13" s="18" t="s">
        <v>93</v>
      </c>
      <c r="B13" s="19" t="s">
        <v>61</v>
      </c>
      <c r="C13" s="18" t="s">
        <v>62</v>
      </c>
      <c r="D13" s="18" t="s">
        <v>63</v>
      </c>
      <c r="E13" s="18" t="s">
        <v>64</v>
      </c>
      <c r="F13" s="18" t="s">
        <v>65</v>
      </c>
      <c r="G13" s="20" t="n">
        <v>0.583333333333333</v>
      </c>
      <c r="H13" s="20" t="n">
        <v>0.597222222222222</v>
      </c>
      <c r="I13" s="21" t="n">
        <f aca="false">ROUND((H13-G13)*1440,0)</f>
        <v>20</v>
      </c>
      <c r="J13" s="18" t="n">
        <v>2</v>
      </c>
      <c r="K13" s="18"/>
      <c r="L13" s="18" t="s">
        <v>58</v>
      </c>
      <c r="M13" s="18" t="n">
        <v>18</v>
      </c>
      <c r="N13" s="18"/>
      <c r="O13" s="18" t="s">
        <v>59</v>
      </c>
      <c r="P13" s="18" t="n">
        <v>3</v>
      </c>
    </row>
    <row r="14" customFormat="false" ht="15" hidden="false" customHeight="false" outlineLevel="0" collapsed="false">
      <c r="A14" s="14" t="s">
        <v>94</v>
      </c>
      <c r="B14" s="15" t="s">
        <v>95</v>
      </c>
      <c r="C14" s="14" t="s">
        <v>54</v>
      </c>
      <c r="D14" s="14" t="s">
        <v>55</v>
      </c>
      <c r="E14" s="14" t="s">
        <v>56</v>
      </c>
      <c r="F14" s="14" t="s">
        <v>57</v>
      </c>
      <c r="G14" s="16" t="n">
        <v>0.584722222222222</v>
      </c>
      <c r="H14" s="16" t="n">
        <v>0.591666666666667</v>
      </c>
      <c r="I14" s="17" t="n">
        <f aca="false">ROUND((H14-G14)*1440,0)</f>
        <v>10</v>
      </c>
      <c r="J14" s="14" t="n">
        <v>3</v>
      </c>
      <c r="K14" s="14"/>
      <c r="L14" s="14" t="s">
        <v>58</v>
      </c>
      <c r="M14" s="14" t="n">
        <v>24</v>
      </c>
      <c r="N14" s="14"/>
      <c r="O14" s="14" t="s">
        <v>59</v>
      </c>
      <c r="P14" s="14" t="n">
        <v>2</v>
      </c>
    </row>
    <row r="15" customFormat="false" ht="15" hidden="false" customHeight="false" outlineLevel="0" collapsed="false">
      <c r="A15" s="18" t="s">
        <v>96</v>
      </c>
      <c r="B15" s="19" t="s">
        <v>67</v>
      </c>
      <c r="C15" s="18" t="s">
        <v>68</v>
      </c>
      <c r="D15" s="18" t="s">
        <v>69</v>
      </c>
      <c r="E15" s="18" t="s">
        <v>19</v>
      </c>
      <c r="F15" s="18" t="s">
        <v>57</v>
      </c>
      <c r="G15" s="20" t="n">
        <v>0.586805555555556</v>
      </c>
      <c r="H15" s="20" t="n">
        <v>0.59375</v>
      </c>
      <c r="I15" s="21" t="n">
        <f aca="false">ROUND((H15-G15)*1440,0)</f>
        <v>10</v>
      </c>
      <c r="J15" s="18" t="n">
        <v>5</v>
      </c>
      <c r="K15" s="18" t="n">
        <v>5</v>
      </c>
      <c r="L15" s="18" t="s">
        <v>70</v>
      </c>
      <c r="M15" s="18" t="n">
        <v>12</v>
      </c>
      <c r="N15" s="18"/>
      <c r="O15" s="18" t="s">
        <v>59</v>
      </c>
      <c r="P15" s="18" t="n">
        <v>3</v>
      </c>
    </row>
    <row r="16" customFormat="false" ht="15" hidden="false" customHeight="false" outlineLevel="0" collapsed="false">
      <c r="A16" s="14" t="s">
        <v>97</v>
      </c>
      <c r="B16" s="15" t="s">
        <v>98</v>
      </c>
      <c r="C16" s="14" t="s">
        <v>62</v>
      </c>
      <c r="D16" s="14" t="s">
        <v>64</v>
      </c>
      <c r="E16" s="14" t="s">
        <v>63</v>
      </c>
      <c r="F16" s="14" t="s">
        <v>57</v>
      </c>
      <c r="G16" s="16" t="n">
        <v>0.598611111111111</v>
      </c>
      <c r="H16" s="16" t="n">
        <v>0.602083333333333</v>
      </c>
      <c r="I16" s="17" t="n">
        <f aca="false">ROUND((H16-G16)*1440,0)</f>
        <v>5</v>
      </c>
      <c r="J16" s="14" t="n">
        <v>2</v>
      </c>
      <c r="K16" s="14"/>
      <c r="L16" s="14" t="s">
        <v>58</v>
      </c>
      <c r="M16" s="14" t="n">
        <v>18</v>
      </c>
      <c r="N16" s="14"/>
      <c r="O16" s="14" t="s">
        <v>59</v>
      </c>
      <c r="P16" s="14" t="n">
        <v>3</v>
      </c>
    </row>
    <row r="17" customFormat="false" ht="15" hidden="false" customHeight="false" outlineLevel="0" collapsed="false">
      <c r="A17" s="18" t="s">
        <v>99</v>
      </c>
      <c r="B17" s="19" t="s">
        <v>100</v>
      </c>
      <c r="C17" s="18" t="s">
        <v>62</v>
      </c>
      <c r="D17" s="18" t="s">
        <v>63</v>
      </c>
      <c r="E17" s="18" t="s">
        <v>64</v>
      </c>
      <c r="F17" s="18" t="s">
        <v>65</v>
      </c>
      <c r="G17" s="20" t="n">
        <v>0.600694444444444</v>
      </c>
      <c r="H17" s="20" t="n">
        <v>0.611111111111111</v>
      </c>
      <c r="I17" s="21" t="n">
        <f aca="false">ROUND((H17-G17)*1440,0)</f>
        <v>15</v>
      </c>
      <c r="J17" s="18" t="n">
        <v>4</v>
      </c>
      <c r="K17" s="18"/>
      <c r="L17" s="18" t="s">
        <v>58</v>
      </c>
      <c r="M17" s="18" t="n">
        <v>18</v>
      </c>
      <c r="N17" s="18"/>
      <c r="O17" s="18" t="s">
        <v>59</v>
      </c>
      <c r="P17" s="18" t="n">
        <v>3</v>
      </c>
    </row>
    <row r="18" customFormat="false" ht="15" hidden="false" customHeight="false" outlineLevel="0" collapsed="false">
      <c r="A18" s="14" t="s">
        <v>101</v>
      </c>
      <c r="B18" s="15" t="s">
        <v>72</v>
      </c>
      <c r="C18" s="14" t="s">
        <v>81</v>
      </c>
      <c r="D18" s="14" t="s">
        <v>83</v>
      </c>
      <c r="E18" s="14" t="s">
        <v>82</v>
      </c>
      <c r="F18" s="14" t="s">
        <v>65</v>
      </c>
      <c r="G18" s="16" t="n">
        <v>0.604166666666667</v>
      </c>
      <c r="H18" s="16" t="n">
        <v>0.6125</v>
      </c>
      <c r="I18" s="17" t="n">
        <f aca="false">ROUND((H18-G18)*1440,0)</f>
        <v>12</v>
      </c>
      <c r="J18" s="14" t="n">
        <v>1</v>
      </c>
      <c r="K18" s="14"/>
      <c r="L18" s="14" t="s">
        <v>84</v>
      </c>
      <c r="M18" s="14" t="n">
        <v>26</v>
      </c>
      <c r="N18" s="14"/>
      <c r="O18" s="14" t="s">
        <v>59</v>
      </c>
      <c r="P18" s="14" t="n">
        <v>1</v>
      </c>
    </row>
    <row r="19" customFormat="false" ht="15" hidden="false" customHeight="false" outlineLevel="0" collapsed="false">
      <c r="A19" s="18" t="s">
        <v>102</v>
      </c>
      <c r="B19" s="19" t="s">
        <v>103</v>
      </c>
      <c r="C19" s="18" t="s">
        <v>62</v>
      </c>
      <c r="D19" s="18" t="s">
        <v>64</v>
      </c>
      <c r="E19" s="18" t="s">
        <v>63</v>
      </c>
      <c r="F19" s="18" t="s">
        <v>57</v>
      </c>
      <c r="G19" s="20" t="n">
        <v>0.607638888888889</v>
      </c>
      <c r="H19" s="20" t="n">
        <v>0.614583333333333</v>
      </c>
      <c r="I19" s="21" t="n">
        <f aca="false">ROUND((H19-G19)*1440,0)</f>
        <v>10</v>
      </c>
      <c r="J19" s="18" t="n">
        <v>4</v>
      </c>
      <c r="K19" s="18"/>
      <c r="L19" s="18" t="s">
        <v>58</v>
      </c>
      <c r="M19" s="18" t="n">
        <v>18</v>
      </c>
      <c r="N19" s="18"/>
      <c r="O19" s="18" t="s">
        <v>59</v>
      </c>
      <c r="P19" s="18" t="n">
        <v>3</v>
      </c>
    </row>
    <row r="20" customFormat="false" ht="15" hidden="false" customHeight="false" outlineLevel="0" collapsed="false">
      <c r="A20" s="14" t="s">
        <v>104</v>
      </c>
      <c r="B20" s="15" t="s">
        <v>53</v>
      </c>
      <c r="C20" s="14" t="s">
        <v>54</v>
      </c>
      <c r="D20" s="14" t="s">
        <v>55</v>
      </c>
      <c r="E20" s="14" t="s">
        <v>56</v>
      </c>
      <c r="F20" s="14" t="s">
        <v>57</v>
      </c>
      <c r="G20" s="16" t="n">
        <v>0.618055555555556</v>
      </c>
      <c r="H20" s="16" t="n">
        <v>0.626388888888889</v>
      </c>
      <c r="I20" s="17" t="n">
        <f aca="false">ROUND((H20-G20)*1440,0)</f>
        <v>12</v>
      </c>
      <c r="J20" s="14" t="n">
        <v>3</v>
      </c>
      <c r="K20" s="14"/>
      <c r="L20" s="14" t="s">
        <v>58</v>
      </c>
      <c r="M20" s="14" t="n">
        <v>24</v>
      </c>
      <c r="N20" s="14"/>
      <c r="O20" s="14" t="s">
        <v>59</v>
      </c>
      <c r="P20" s="14" t="n">
        <v>2</v>
      </c>
    </row>
    <row r="21" customFormat="false" ht="15" hidden="false" customHeight="false" outlineLevel="0" collapsed="false">
      <c r="A21" s="18" t="s">
        <v>105</v>
      </c>
      <c r="B21" s="19" t="s">
        <v>67</v>
      </c>
      <c r="C21" s="18" t="s">
        <v>68</v>
      </c>
      <c r="D21" s="18" t="s">
        <v>69</v>
      </c>
      <c r="E21" s="18" t="s">
        <v>19</v>
      </c>
      <c r="F21" s="18" t="s">
        <v>57</v>
      </c>
      <c r="G21" s="20" t="n">
        <v>0.625</v>
      </c>
      <c r="H21" s="20" t="n">
        <v>0.631944444444444</v>
      </c>
      <c r="I21" s="21" t="n">
        <f aca="false">ROUND((H21-G21)*1440,0)</f>
        <v>10</v>
      </c>
      <c r="J21" s="18" t="n">
        <v>5</v>
      </c>
      <c r="K21" s="18" t="n">
        <v>5</v>
      </c>
      <c r="L21" s="18" t="s">
        <v>70</v>
      </c>
      <c r="M21" s="18" t="n">
        <v>12</v>
      </c>
      <c r="N21" s="18"/>
      <c r="O21" s="18" t="s">
        <v>59</v>
      </c>
      <c r="P21" s="18" t="n">
        <v>3</v>
      </c>
    </row>
    <row r="22" customFormat="false" ht="15" hidden="false" customHeight="false" outlineLevel="0" collapsed="false">
      <c r="A22" s="14" t="s">
        <v>106</v>
      </c>
      <c r="B22" s="15" t="s">
        <v>86</v>
      </c>
      <c r="C22" s="14" t="s">
        <v>62</v>
      </c>
      <c r="D22" s="14" t="s">
        <v>63</v>
      </c>
      <c r="E22" s="14" t="s">
        <v>64</v>
      </c>
      <c r="F22" s="14" t="s">
        <v>65</v>
      </c>
      <c r="G22" s="16" t="n">
        <v>0.628472222222222</v>
      </c>
      <c r="H22" s="16" t="n">
        <v>0.642361111111111</v>
      </c>
      <c r="I22" s="17" t="n">
        <f aca="false">ROUND((H22-G22)*1440,0)</f>
        <v>20</v>
      </c>
      <c r="J22" s="14" t="n">
        <v>2</v>
      </c>
      <c r="K22" s="14"/>
      <c r="L22" s="14" t="s">
        <v>58</v>
      </c>
      <c r="M22" s="14" t="n">
        <v>18</v>
      </c>
      <c r="N22" s="14"/>
      <c r="O22" s="14" t="s">
        <v>59</v>
      </c>
      <c r="P22" s="14" t="n">
        <v>3</v>
      </c>
    </row>
    <row r="23" customFormat="false" ht="15" hidden="false" customHeight="false" outlineLevel="0" collapsed="false">
      <c r="A23" s="18" t="s">
        <v>107</v>
      </c>
      <c r="B23" s="19" t="s">
        <v>80</v>
      </c>
      <c r="C23" s="18" t="s">
        <v>81</v>
      </c>
      <c r="D23" s="18" t="s">
        <v>83</v>
      </c>
      <c r="E23" s="18" t="s">
        <v>82</v>
      </c>
      <c r="F23" s="18" t="s">
        <v>65</v>
      </c>
      <c r="G23" s="20" t="n">
        <v>0.635416666666667</v>
      </c>
      <c r="H23" s="20" t="n">
        <v>0.644444444444445</v>
      </c>
      <c r="I23" s="21" t="n">
        <f aca="false">ROUND((H23-G23)*1440,0)</f>
        <v>13</v>
      </c>
      <c r="J23" s="18" t="n">
        <v>1</v>
      </c>
      <c r="K23" s="18"/>
      <c r="L23" s="18" t="s">
        <v>84</v>
      </c>
      <c r="M23" s="18" t="n">
        <v>26</v>
      </c>
      <c r="N23" s="18"/>
      <c r="O23" s="18" t="s">
        <v>59</v>
      </c>
      <c r="P23" s="18" t="n">
        <v>1</v>
      </c>
    </row>
    <row r="24" customFormat="false" ht="15" hidden="false" customHeight="false" outlineLevel="0" collapsed="false">
      <c r="A24" s="14" t="s">
        <v>108</v>
      </c>
      <c r="B24" s="15" t="s">
        <v>100</v>
      </c>
      <c r="C24" s="14" t="s">
        <v>62</v>
      </c>
      <c r="D24" s="14" t="s">
        <v>63</v>
      </c>
      <c r="E24" s="14" t="s">
        <v>64</v>
      </c>
      <c r="F24" s="14" t="s">
        <v>65</v>
      </c>
      <c r="G24" s="16" t="n">
        <v>0.635416666666667</v>
      </c>
      <c r="H24" s="16" t="n">
        <v>0.645833333333333</v>
      </c>
      <c r="I24" s="17" t="n">
        <f aca="false">ROUND((H24-G24)*1440,0)</f>
        <v>15</v>
      </c>
      <c r="J24" s="14" t="n">
        <v>4</v>
      </c>
      <c r="K24" s="14"/>
      <c r="L24" s="14" t="s">
        <v>58</v>
      </c>
      <c r="M24" s="14" t="n">
        <v>18</v>
      </c>
      <c r="N24" s="14"/>
      <c r="O24" s="14" t="s">
        <v>59</v>
      </c>
      <c r="P24" s="14" t="n">
        <v>3</v>
      </c>
    </row>
    <row r="25" customFormat="false" ht="15" hidden="false" customHeight="false" outlineLevel="0" collapsed="false">
      <c r="A25" s="18" t="s">
        <v>109</v>
      </c>
      <c r="B25" s="19" t="s">
        <v>89</v>
      </c>
      <c r="C25" s="18" t="s">
        <v>54</v>
      </c>
      <c r="D25" s="18" t="s">
        <v>55</v>
      </c>
      <c r="E25" s="18" t="s">
        <v>56</v>
      </c>
      <c r="F25" s="18" t="s">
        <v>57</v>
      </c>
      <c r="G25" s="20" t="n">
        <v>0.652777777777778</v>
      </c>
      <c r="H25" s="20" t="n">
        <v>0.661111111111111</v>
      </c>
      <c r="I25" s="21" t="n">
        <f aca="false">ROUND((H25-G25)*1440,0)</f>
        <v>12</v>
      </c>
      <c r="J25" s="18" t="n">
        <v>3</v>
      </c>
      <c r="K25" s="18"/>
      <c r="L25" s="18" t="s">
        <v>58</v>
      </c>
      <c r="M25" s="18" t="n">
        <v>24</v>
      </c>
      <c r="N25" s="18"/>
      <c r="O25" s="18" t="s">
        <v>59</v>
      </c>
      <c r="P25" s="18" t="n">
        <v>2</v>
      </c>
    </row>
    <row r="26" customFormat="false" ht="15" hidden="false" customHeight="false" outlineLevel="0" collapsed="false">
      <c r="A26" s="14" t="s">
        <v>110</v>
      </c>
      <c r="B26" s="15" t="s">
        <v>92</v>
      </c>
      <c r="C26" s="14" t="s">
        <v>81</v>
      </c>
      <c r="D26" s="14" t="s">
        <v>82</v>
      </c>
      <c r="E26" s="14" t="s">
        <v>83</v>
      </c>
      <c r="F26" s="14" t="s">
        <v>57</v>
      </c>
      <c r="G26" s="16" t="n">
        <v>0.670138888888889</v>
      </c>
      <c r="H26" s="16" t="n">
        <v>0.678472222222222</v>
      </c>
      <c r="I26" s="17" t="n">
        <f aca="false">ROUND((H26-G26)*1440,0)</f>
        <v>12</v>
      </c>
      <c r="J26" s="14" t="n">
        <v>1</v>
      </c>
      <c r="K26" s="14"/>
      <c r="L26" s="14" t="s">
        <v>84</v>
      </c>
      <c r="M26" s="14" t="n">
        <v>26</v>
      </c>
      <c r="N26" s="14"/>
      <c r="O26" s="14" t="s">
        <v>59</v>
      </c>
      <c r="P26" s="14" t="n">
        <v>1</v>
      </c>
    </row>
    <row r="27" customFormat="false" ht="15" hidden="false" customHeight="false" outlineLevel="0" collapsed="false">
      <c r="A27" s="18" t="s">
        <v>111</v>
      </c>
      <c r="B27" s="19" t="s">
        <v>98</v>
      </c>
      <c r="C27" s="18" t="s">
        <v>62</v>
      </c>
      <c r="D27" s="18" t="s">
        <v>63</v>
      </c>
      <c r="E27" s="18" t="s">
        <v>64</v>
      </c>
      <c r="F27" s="18" t="s">
        <v>65</v>
      </c>
      <c r="G27" s="20" t="n">
        <v>0.673611111111111</v>
      </c>
      <c r="H27" s="20" t="n">
        <v>0.6875</v>
      </c>
      <c r="I27" s="21" t="n">
        <f aca="false">ROUND((H27-G27)*1440,0)</f>
        <v>20</v>
      </c>
      <c r="J27" s="18" t="n">
        <v>2</v>
      </c>
      <c r="K27" s="18"/>
      <c r="L27" s="18" t="s">
        <v>58</v>
      </c>
      <c r="M27" s="18" t="n">
        <v>18</v>
      </c>
      <c r="N27" s="18"/>
      <c r="O27" s="18" t="s">
        <v>59</v>
      </c>
      <c r="P27" s="18" t="n">
        <v>3</v>
      </c>
    </row>
    <row r="28" customFormat="false" ht="15" hidden="false" customHeight="false" outlineLevel="0" collapsed="false">
      <c r="A28" s="14" t="s">
        <v>112</v>
      </c>
      <c r="B28" s="15" t="s">
        <v>67</v>
      </c>
      <c r="C28" s="14" t="s">
        <v>68</v>
      </c>
      <c r="D28" s="14" t="s">
        <v>69</v>
      </c>
      <c r="E28" s="14" t="s">
        <v>19</v>
      </c>
      <c r="F28" s="14" t="s">
        <v>57</v>
      </c>
      <c r="G28" s="16" t="n">
        <v>0.677083333333333</v>
      </c>
      <c r="H28" s="16" t="n">
        <v>0.684027777777778</v>
      </c>
      <c r="I28" s="17" t="n">
        <f aca="false">ROUND((H28-G28)*1440,0)</f>
        <v>10</v>
      </c>
      <c r="J28" s="14" t="n">
        <v>5</v>
      </c>
      <c r="K28" s="14" t="n">
        <v>5</v>
      </c>
      <c r="L28" s="14" t="s">
        <v>70</v>
      </c>
      <c r="M28" s="14" t="n">
        <v>12</v>
      </c>
      <c r="N28" s="14"/>
      <c r="O28" s="14" t="s">
        <v>59</v>
      </c>
      <c r="P28" s="14" t="n">
        <v>3</v>
      </c>
    </row>
    <row r="29" customFormat="false" ht="15" hidden="false" customHeight="false" outlineLevel="0" collapsed="false">
      <c r="A29" s="18" t="s">
        <v>113</v>
      </c>
      <c r="B29" s="19" t="s">
        <v>95</v>
      </c>
      <c r="C29" s="18" t="s">
        <v>54</v>
      </c>
      <c r="D29" s="18" t="s">
        <v>56</v>
      </c>
      <c r="E29" s="18" t="s">
        <v>55</v>
      </c>
      <c r="F29" s="18" t="s">
        <v>65</v>
      </c>
      <c r="G29" s="20" t="n">
        <v>0.690972222222222</v>
      </c>
      <c r="H29" s="20" t="n">
        <v>0.699305555555556</v>
      </c>
      <c r="I29" s="21" t="n">
        <f aca="false">ROUND((H29-G29)*1440,0)</f>
        <v>12</v>
      </c>
      <c r="J29" s="18" t="n">
        <v>3</v>
      </c>
      <c r="K29" s="18"/>
      <c r="L29" s="18" t="s">
        <v>58</v>
      </c>
      <c r="M29" s="18" t="n">
        <v>24</v>
      </c>
      <c r="N29" s="18"/>
      <c r="O29" s="18" t="s">
        <v>59</v>
      </c>
      <c r="P29" s="18" t="n">
        <v>2</v>
      </c>
    </row>
    <row r="30" customFormat="false" ht="15" hidden="false" customHeight="false" outlineLevel="0" collapsed="false">
      <c r="A30" s="14" t="s">
        <v>114</v>
      </c>
      <c r="B30" s="15" t="s">
        <v>74</v>
      </c>
      <c r="C30" s="14" t="s">
        <v>75</v>
      </c>
      <c r="D30" s="14" t="s">
        <v>76</v>
      </c>
      <c r="E30" s="14" t="s">
        <v>77</v>
      </c>
      <c r="F30" s="14" t="s">
        <v>57</v>
      </c>
      <c r="G30" s="16" t="n">
        <v>0.694444444444444</v>
      </c>
      <c r="H30" s="16" t="n">
        <v>0.704861111111111</v>
      </c>
      <c r="I30" s="17" t="n">
        <f aca="false">ROUND((H30-G30)*1440,0)</f>
        <v>15</v>
      </c>
      <c r="J30" s="14" t="n">
        <v>4</v>
      </c>
      <c r="K30" s="14"/>
      <c r="L30" s="14" t="s">
        <v>78</v>
      </c>
      <c r="M30" s="14"/>
      <c r="N30" s="14" t="n">
        <v>58</v>
      </c>
      <c r="O30" s="14" t="s">
        <v>59</v>
      </c>
      <c r="P30" s="14" t="n">
        <v>4</v>
      </c>
    </row>
    <row r="31" customFormat="false" ht="15" hidden="false" customHeight="false" outlineLevel="0" collapsed="false">
      <c r="A31" s="18" t="s">
        <v>115</v>
      </c>
      <c r="B31" s="19" t="s">
        <v>67</v>
      </c>
      <c r="C31" s="18" t="s">
        <v>68</v>
      </c>
      <c r="D31" s="18" t="s">
        <v>69</v>
      </c>
      <c r="E31" s="18" t="s">
        <v>19</v>
      </c>
      <c r="F31" s="18" t="s">
        <v>57</v>
      </c>
      <c r="G31" s="20" t="n">
        <v>0.697916666666667</v>
      </c>
      <c r="H31" s="20" t="n">
        <v>0.704861111111111</v>
      </c>
      <c r="I31" s="21" t="n">
        <f aca="false">ROUND((H31-G31)*1440,0)</f>
        <v>10</v>
      </c>
      <c r="J31" s="18" t="n">
        <v>5</v>
      </c>
      <c r="K31" s="18" t="n">
        <v>5</v>
      </c>
      <c r="L31" s="18" t="s">
        <v>70</v>
      </c>
      <c r="M31" s="18" t="n">
        <v>12</v>
      </c>
      <c r="N31" s="18"/>
      <c r="O31" s="18" t="s">
        <v>59</v>
      </c>
      <c r="P31" s="18" t="n">
        <v>3</v>
      </c>
    </row>
    <row r="33" customFormat="false" ht="15" hidden="false" customHeight="false" outlineLevel="0" collapsed="false">
      <c r="A33" s="8" t="s">
        <v>116</v>
      </c>
      <c r="C33" s="22" t="n">
        <f aca="false">COUNTA(A2:A31)</f>
        <v>30</v>
      </c>
    </row>
    <row r="34" customFormat="false" ht="15" hidden="false" customHeight="false" outlineLevel="0" collapsed="false">
      <c r="A34" s="8" t="s">
        <v>117</v>
      </c>
      <c r="C34" s="22" t="n">
        <f aca="false">MIN(I2:I31)</f>
        <v>5</v>
      </c>
    </row>
    <row r="35" customFormat="false" ht="15" hidden="false" customHeight="false" outlineLevel="0" collapsed="false">
      <c r="A35" s="8" t="s">
        <v>118</v>
      </c>
      <c r="C35" s="22" t="n">
        <f aca="false">MAX(I2:I31)</f>
        <v>20</v>
      </c>
    </row>
    <row r="36" customFormat="false" ht="15" hidden="false" customHeight="false" outlineLevel="0" collapsed="false">
      <c r="A36" s="8" t="s">
        <v>119</v>
      </c>
      <c r="C36" s="22" t="n">
        <f aca="false">COUNTIF(C2:C31,"SF")</f>
        <v>4</v>
      </c>
    </row>
    <row r="37" customFormat="false" ht="15" hidden="false" customHeight="false" outlineLevel="0" collapsed="false">
      <c r="A37" s="8" t="s">
        <v>120</v>
      </c>
      <c r="C37" s="22" t="n">
        <f aca="false">COUNTIF(C2:C31,"MEX")</f>
        <v>8</v>
      </c>
    </row>
    <row r="38" customFormat="false" ht="15" hidden="false" customHeight="false" outlineLevel="0" collapsed="false">
      <c r="A38" s="8" t="s">
        <v>121</v>
      </c>
      <c r="C38" s="22" t="n">
        <f aca="false">COUNTIF(C2:C31,"PAS")</f>
        <v>9</v>
      </c>
    </row>
    <row r="39" customFormat="false" ht="15" hidden="false" customHeight="false" outlineLevel="0" collapsed="false">
      <c r="A39" s="8" t="s">
        <v>68</v>
      </c>
      <c r="C39" s="22" t="n">
        <f aca="false">COUNTIF(C2:C31,"MEMU")</f>
        <v>7</v>
      </c>
    </row>
    <row r="40" customFormat="false" ht="15" hidden="false" customHeight="false" outlineLevel="0" collapsed="false">
      <c r="A40" s="8" t="s">
        <v>122</v>
      </c>
      <c r="C40" s="22" t="n">
        <f aca="false">COUNTIF(C2:C31,"GDS")</f>
        <v>2</v>
      </c>
    </row>
  </sheetData>
  <dataValidations count="5">
    <dataValidation allowBlank="false" errorStyle="stop" operator="between" showDropDown="false" showErrorMessage="false" showInputMessage="false" sqref="C2:C31" type="list">
      <formula1>"SF,MEX,PAS,MEMU,GDS"</formula1>
      <formula2>0</formula2>
    </dataValidation>
    <dataValidation allowBlank="false" errorStyle="stop" operator="between" showDropDown="false" showErrorMessage="false" showInputMessage="false" sqref="F2:F31" type="list">
      <formula1>"UP,DN"</formula1>
      <formula2>0</formula2>
    </dataValidation>
    <dataValidation allowBlank="true" errorStyle="stop" operator="between" showDropDown="false" showErrorMessage="false" showInputMessage="false" sqref="J2:K31" type="whole">
      <formula1>1</formula1>
      <formula2>5</formula2>
    </dataValidation>
    <dataValidation allowBlank="false" errorStyle="stop" operator="between" showDropDown="false" showErrorMessage="false" showInputMessage="false" sqref="P2:P31" type="whole">
      <formula1>1</formula1>
      <formula2>4</formula2>
    </dataValidation>
    <dataValidation allowBlank="false" errorStyle="stop" operator="between" showDropDown="false" showErrorMessage="false" showInputMessage="false" sqref="G2:H31" type="time">
      <formula1>0</formula1>
      <formula2>0.999305555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32"/>
    <col collapsed="false" customWidth="true" hidden="false" outlineLevel="0" max="5" min="3" style="0" width="7"/>
    <col collapsed="false" customWidth="true" hidden="false" outlineLevel="0" max="6" min="6" style="0" width="6"/>
    <col collapsed="false" customWidth="true" hidden="false" outlineLevel="0" max="8" min="7" style="0" width="8"/>
    <col collapsed="false" customWidth="true" hidden="false" outlineLevel="0" max="9" min="9" style="0" width="9"/>
    <col collapsed="false" customWidth="true" hidden="false" outlineLevel="0" max="11" min="10" style="0" width="8"/>
    <col collapsed="false" customWidth="true" hidden="false" outlineLevel="0" max="12" min="12" style="0" width="12"/>
    <col collapsed="false" customWidth="true" hidden="false" outlineLevel="0" max="14" min="13" style="0" width="9"/>
    <col collapsed="false" customWidth="true" hidden="false" outlineLevel="0" max="15" min="15" style="0" width="12"/>
    <col collapsed="false" customWidth="true" hidden="false" outlineLevel="0" max="16" min="16" style="0" width="9"/>
  </cols>
  <sheetData>
    <row r="1" customFormat="false" ht="31.5" hidden="false" customHeight="true" outlineLevel="0" collapsed="false">
      <c r="A1" s="11" t="s">
        <v>36</v>
      </c>
      <c r="B1" s="11" t="s">
        <v>37</v>
      </c>
      <c r="C1" s="11" t="s">
        <v>38</v>
      </c>
      <c r="D1" s="11" t="s">
        <v>39</v>
      </c>
      <c r="E1" s="11" t="s">
        <v>40</v>
      </c>
      <c r="F1" s="11" t="s">
        <v>41</v>
      </c>
      <c r="G1" s="11" t="s">
        <v>42</v>
      </c>
      <c r="H1" s="11" t="s">
        <v>43</v>
      </c>
      <c r="I1" s="11" t="s">
        <v>44</v>
      </c>
      <c r="J1" s="11" t="s">
        <v>45</v>
      </c>
      <c r="K1" s="11" t="s">
        <v>46</v>
      </c>
      <c r="L1" s="11" t="s">
        <v>47</v>
      </c>
      <c r="M1" s="11" t="s">
        <v>48</v>
      </c>
      <c r="N1" s="11" t="s">
        <v>49</v>
      </c>
      <c r="O1" s="11" t="s">
        <v>50</v>
      </c>
      <c r="P1" s="11" t="s">
        <v>51</v>
      </c>
    </row>
    <row r="2" customFormat="false" ht="15" hidden="false" customHeight="false" outlineLevel="0" collapsed="false">
      <c r="A2" s="14" t="s">
        <v>52</v>
      </c>
      <c r="B2" s="15" t="s">
        <v>53</v>
      </c>
      <c r="C2" s="14" t="s">
        <v>54</v>
      </c>
      <c r="D2" s="14" t="s">
        <v>55</v>
      </c>
      <c r="E2" s="14" t="s">
        <v>56</v>
      </c>
      <c r="F2" s="14" t="s">
        <v>57</v>
      </c>
      <c r="G2" s="16" t="n">
        <v>0.503472222222222</v>
      </c>
      <c r="H2" s="16" t="n">
        <v>0.510416666666667</v>
      </c>
      <c r="I2" s="17" t="n">
        <f aca="false">ROUND((H2-G2)*1440,0)</f>
        <v>10</v>
      </c>
      <c r="J2" s="14" t="n">
        <v>1</v>
      </c>
      <c r="K2" s="14"/>
      <c r="L2" s="14" t="s">
        <v>58</v>
      </c>
      <c r="M2" s="14" t="n">
        <v>24</v>
      </c>
      <c r="N2" s="14"/>
      <c r="O2" s="14" t="s">
        <v>59</v>
      </c>
      <c r="P2" s="14" t="n">
        <v>2</v>
      </c>
    </row>
    <row r="3" customFormat="false" ht="15" hidden="false" customHeight="false" outlineLevel="0" collapsed="false">
      <c r="A3" s="18" t="s">
        <v>60</v>
      </c>
      <c r="B3" s="19" t="s">
        <v>61</v>
      </c>
      <c r="C3" s="18" t="s">
        <v>62</v>
      </c>
      <c r="D3" s="18" t="s">
        <v>63</v>
      </c>
      <c r="E3" s="18" t="s">
        <v>64</v>
      </c>
      <c r="F3" s="18" t="s">
        <v>65</v>
      </c>
      <c r="G3" s="20" t="n">
        <v>0.506944444444444</v>
      </c>
      <c r="H3" s="20" t="n">
        <v>0.519444444444445</v>
      </c>
      <c r="I3" s="21" t="n">
        <f aca="false">ROUND((H3-G3)*1440,0)</f>
        <v>18</v>
      </c>
      <c r="J3" s="18" t="n">
        <v>2</v>
      </c>
      <c r="K3" s="18"/>
      <c r="L3" s="18" t="s">
        <v>58</v>
      </c>
      <c r="M3" s="18" t="n">
        <v>18</v>
      </c>
      <c r="N3" s="18"/>
      <c r="O3" s="18" t="s">
        <v>59</v>
      </c>
      <c r="P3" s="18" t="n">
        <v>3</v>
      </c>
    </row>
    <row r="4" customFormat="false" ht="15" hidden="false" customHeight="false" outlineLevel="0" collapsed="false">
      <c r="A4" s="14" t="s">
        <v>66</v>
      </c>
      <c r="B4" s="15" t="s">
        <v>67</v>
      </c>
      <c r="C4" s="14" t="s">
        <v>68</v>
      </c>
      <c r="D4" s="14" t="s">
        <v>69</v>
      </c>
      <c r="E4" s="14" t="s">
        <v>19</v>
      </c>
      <c r="F4" s="14" t="s">
        <v>57</v>
      </c>
      <c r="G4" s="16" t="n">
        <v>0.510416666666667</v>
      </c>
      <c r="H4" s="16" t="n">
        <v>0.517361111111111</v>
      </c>
      <c r="I4" s="17" t="n">
        <f aca="false">ROUND((H4-G4)*1440,0)</f>
        <v>10</v>
      </c>
      <c r="J4" s="14" t="n">
        <v>5</v>
      </c>
      <c r="K4" s="14" t="n">
        <v>5</v>
      </c>
      <c r="L4" s="14" t="s">
        <v>70</v>
      </c>
      <c r="M4" s="14" t="n">
        <v>12</v>
      </c>
      <c r="N4" s="14"/>
      <c r="O4" s="14" t="s">
        <v>59</v>
      </c>
      <c r="P4" s="14" t="n">
        <v>3</v>
      </c>
    </row>
    <row r="5" customFormat="false" ht="15" hidden="false" customHeight="false" outlineLevel="0" collapsed="false">
      <c r="A5" s="18" t="s">
        <v>71</v>
      </c>
      <c r="B5" s="19" t="s">
        <v>72</v>
      </c>
      <c r="C5" s="18" t="s">
        <v>54</v>
      </c>
      <c r="D5" s="18" t="s">
        <v>56</v>
      </c>
      <c r="E5" s="18" t="s">
        <v>55</v>
      </c>
      <c r="F5" s="18" t="s">
        <v>65</v>
      </c>
      <c r="G5" s="20" t="n">
        <v>0.520833333333333</v>
      </c>
      <c r="H5" s="20" t="n">
        <v>0.529166666666667</v>
      </c>
      <c r="I5" s="21" t="n">
        <f aca="false">ROUND((H5-G5)*1440,0)</f>
        <v>12</v>
      </c>
      <c r="J5" s="18" t="n">
        <v>3</v>
      </c>
      <c r="K5" s="18"/>
      <c r="L5" s="18" t="s">
        <v>58</v>
      </c>
      <c r="M5" s="18" t="n">
        <v>24</v>
      </c>
      <c r="N5" s="18"/>
      <c r="O5" s="18" t="s">
        <v>59</v>
      </c>
      <c r="P5" s="18" t="n">
        <v>2</v>
      </c>
    </row>
    <row r="6" customFormat="false" ht="15" hidden="false" customHeight="false" outlineLevel="0" collapsed="false">
      <c r="A6" s="14" t="s">
        <v>73</v>
      </c>
      <c r="B6" s="15" t="s">
        <v>74</v>
      </c>
      <c r="C6" s="14" t="s">
        <v>75</v>
      </c>
      <c r="D6" s="14" t="s">
        <v>76</v>
      </c>
      <c r="E6" s="14" t="s">
        <v>77</v>
      </c>
      <c r="F6" s="14" t="s">
        <v>57</v>
      </c>
      <c r="G6" s="16" t="n">
        <v>0.527777777777778</v>
      </c>
      <c r="H6" s="16" t="n">
        <v>0.538194444444444</v>
      </c>
      <c r="I6" s="17" t="n">
        <f aca="false">ROUND((H6-G6)*1440,0)</f>
        <v>15</v>
      </c>
      <c r="J6" s="14" t="n">
        <v>4</v>
      </c>
      <c r="K6" s="14"/>
      <c r="L6" s="14" t="s">
        <v>78</v>
      </c>
      <c r="M6" s="14"/>
      <c r="N6" s="14" t="n">
        <v>58</v>
      </c>
      <c r="O6" s="14" t="s">
        <v>59</v>
      </c>
      <c r="P6" s="14" t="n">
        <v>4</v>
      </c>
    </row>
    <row r="7" customFormat="false" ht="15" hidden="false" customHeight="false" outlineLevel="0" collapsed="false">
      <c r="A7" s="18" t="s">
        <v>79</v>
      </c>
      <c r="B7" s="19" t="s">
        <v>80</v>
      </c>
      <c r="C7" s="18" t="s">
        <v>81</v>
      </c>
      <c r="D7" s="18" t="s">
        <v>82</v>
      </c>
      <c r="E7" s="18" t="s">
        <v>83</v>
      </c>
      <c r="F7" s="18" t="s">
        <v>57</v>
      </c>
      <c r="G7" s="20" t="n">
        <v>0.545138888888889</v>
      </c>
      <c r="H7" s="20" t="n">
        <v>0.552083333333333</v>
      </c>
      <c r="I7" s="21" t="n">
        <f aca="false">ROUND((H7-G7)*1440,0)</f>
        <v>10</v>
      </c>
      <c r="J7" s="18" t="n">
        <v>1</v>
      </c>
      <c r="K7" s="18"/>
      <c r="L7" s="18" t="s">
        <v>84</v>
      </c>
      <c r="M7" s="18" t="n">
        <v>26</v>
      </c>
      <c r="N7" s="18"/>
      <c r="O7" s="18" t="s">
        <v>59</v>
      </c>
      <c r="P7" s="18" t="n">
        <v>1</v>
      </c>
    </row>
    <row r="8" customFormat="false" ht="15" hidden="false" customHeight="false" outlineLevel="0" collapsed="false">
      <c r="A8" s="14" t="s">
        <v>85</v>
      </c>
      <c r="B8" s="15" t="s">
        <v>86</v>
      </c>
      <c r="C8" s="14" t="s">
        <v>62</v>
      </c>
      <c r="D8" s="14" t="s">
        <v>63</v>
      </c>
      <c r="E8" s="14" t="s">
        <v>64</v>
      </c>
      <c r="F8" s="14" t="s">
        <v>65</v>
      </c>
      <c r="G8" s="16" t="n">
        <v>0.548611111111111</v>
      </c>
      <c r="H8" s="16" t="n">
        <v>0.5625</v>
      </c>
      <c r="I8" s="17" t="n">
        <f aca="false">ROUND((H8-G8)*1440,0)</f>
        <v>20</v>
      </c>
      <c r="J8" s="14" t="n">
        <v>2</v>
      </c>
      <c r="K8" s="14"/>
      <c r="L8" s="14" t="s">
        <v>58</v>
      </c>
      <c r="M8" s="14" t="n">
        <v>18</v>
      </c>
      <c r="N8" s="14"/>
      <c r="O8" s="14" t="s">
        <v>59</v>
      </c>
      <c r="P8" s="14" t="n">
        <v>3</v>
      </c>
    </row>
    <row r="9" customFormat="false" ht="15" hidden="false" customHeight="false" outlineLevel="0" collapsed="false">
      <c r="A9" s="18" t="s">
        <v>87</v>
      </c>
      <c r="B9" s="19" t="s">
        <v>67</v>
      </c>
      <c r="C9" s="18" t="s">
        <v>68</v>
      </c>
      <c r="D9" s="18" t="s">
        <v>69</v>
      </c>
      <c r="E9" s="18" t="s">
        <v>19</v>
      </c>
      <c r="F9" s="18" t="s">
        <v>57</v>
      </c>
      <c r="G9" s="20" t="n">
        <v>0.555555555555556</v>
      </c>
      <c r="H9" s="20" t="n">
        <v>0.5625</v>
      </c>
      <c r="I9" s="21" t="n">
        <f aca="false">ROUND((H9-G9)*1440,0)</f>
        <v>10</v>
      </c>
      <c r="J9" s="18" t="n">
        <v>5</v>
      </c>
      <c r="K9" s="18" t="n">
        <v>5</v>
      </c>
      <c r="L9" s="18" t="s">
        <v>70</v>
      </c>
      <c r="M9" s="18" t="n">
        <v>12</v>
      </c>
      <c r="N9" s="18"/>
      <c r="O9" s="18" t="s">
        <v>59</v>
      </c>
      <c r="P9" s="18" t="n">
        <v>3</v>
      </c>
    </row>
    <row r="10" customFormat="false" ht="15" hidden="false" customHeight="false" outlineLevel="0" collapsed="false">
      <c r="A10" s="14" t="s">
        <v>88</v>
      </c>
      <c r="B10" s="15" t="s">
        <v>89</v>
      </c>
      <c r="C10" s="14" t="s">
        <v>54</v>
      </c>
      <c r="D10" s="14" t="s">
        <v>56</v>
      </c>
      <c r="E10" s="14" t="s">
        <v>55</v>
      </c>
      <c r="F10" s="14" t="s">
        <v>65</v>
      </c>
      <c r="G10" s="16" t="n">
        <v>0.569444444444444</v>
      </c>
      <c r="H10" s="16" t="n">
        <v>0.579861111111111</v>
      </c>
      <c r="I10" s="17" t="n">
        <f aca="false">ROUND((H10-G10)*1440,0)</f>
        <v>15</v>
      </c>
      <c r="J10" s="14" t="n">
        <v>1</v>
      </c>
      <c r="K10" s="14"/>
      <c r="L10" s="14" t="s">
        <v>58</v>
      </c>
      <c r="M10" s="14" t="n">
        <v>24</v>
      </c>
      <c r="N10" s="14"/>
      <c r="O10" s="14" t="s">
        <v>59</v>
      </c>
      <c r="P10" s="14" t="n">
        <v>2</v>
      </c>
    </row>
    <row r="11" customFormat="false" ht="15" hidden="false" customHeight="false" outlineLevel="0" collapsed="false">
      <c r="A11" s="18" t="s">
        <v>90</v>
      </c>
      <c r="B11" s="19" t="s">
        <v>67</v>
      </c>
      <c r="C11" s="18" t="s">
        <v>68</v>
      </c>
      <c r="D11" s="18" t="s">
        <v>69</v>
      </c>
      <c r="E11" s="18" t="s">
        <v>19</v>
      </c>
      <c r="F11" s="18" t="s">
        <v>57</v>
      </c>
      <c r="G11" s="20" t="n">
        <v>0.572916666666667</v>
      </c>
      <c r="H11" s="20" t="n">
        <v>0.579861111111111</v>
      </c>
      <c r="I11" s="21" t="n">
        <f aca="false">ROUND((H11-G11)*1440,0)</f>
        <v>10</v>
      </c>
      <c r="J11" s="18" t="n">
        <v>5</v>
      </c>
      <c r="K11" s="18" t="n">
        <v>5</v>
      </c>
      <c r="L11" s="18" t="s">
        <v>70</v>
      </c>
      <c r="M11" s="18" t="n">
        <v>12</v>
      </c>
      <c r="N11" s="18"/>
      <c r="O11" s="18" t="s">
        <v>59</v>
      </c>
      <c r="P11" s="18" t="n">
        <v>3</v>
      </c>
    </row>
    <row r="12" customFormat="false" ht="15" hidden="false" customHeight="false" outlineLevel="0" collapsed="false">
      <c r="A12" s="14" t="s">
        <v>91</v>
      </c>
      <c r="B12" s="15" t="s">
        <v>92</v>
      </c>
      <c r="C12" s="14" t="s">
        <v>54</v>
      </c>
      <c r="D12" s="14" t="s">
        <v>56</v>
      </c>
      <c r="E12" s="14" t="s">
        <v>55</v>
      </c>
      <c r="F12" s="14" t="s">
        <v>65</v>
      </c>
      <c r="G12" s="16" t="n">
        <v>0.581944444444445</v>
      </c>
      <c r="H12" s="16" t="n">
        <v>0.588888888888889</v>
      </c>
      <c r="I12" s="17" t="n">
        <f aca="false">ROUND((H12-G12)*1440,0)</f>
        <v>10</v>
      </c>
      <c r="J12" s="14" t="n">
        <v>4</v>
      </c>
      <c r="K12" s="14"/>
      <c r="L12" s="14" t="s">
        <v>58</v>
      </c>
      <c r="M12" s="14" t="n">
        <v>24</v>
      </c>
      <c r="N12" s="14"/>
      <c r="O12" s="14" t="s">
        <v>59</v>
      </c>
      <c r="P12" s="14" t="n">
        <v>2</v>
      </c>
    </row>
    <row r="13" customFormat="false" ht="15" hidden="false" customHeight="false" outlineLevel="0" collapsed="false">
      <c r="A13" s="18" t="s">
        <v>93</v>
      </c>
      <c r="B13" s="19" t="s">
        <v>61</v>
      </c>
      <c r="C13" s="18" t="s">
        <v>62</v>
      </c>
      <c r="D13" s="18" t="s">
        <v>63</v>
      </c>
      <c r="E13" s="18" t="s">
        <v>64</v>
      </c>
      <c r="F13" s="18" t="s">
        <v>65</v>
      </c>
      <c r="G13" s="20" t="n">
        <v>0.583333333333333</v>
      </c>
      <c r="H13" s="20" t="n">
        <v>0.597222222222222</v>
      </c>
      <c r="I13" s="21" t="n">
        <f aca="false">ROUND((H13-G13)*1440,0)</f>
        <v>20</v>
      </c>
      <c r="J13" s="18" t="n">
        <v>2</v>
      </c>
      <c r="K13" s="18"/>
      <c r="L13" s="18" t="s">
        <v>58</v>
      </c>
      <c r="M13" s="18" t="n">
        <v>18</v>
      </c>
      <c r="N13" s="18"/>
      <c r="O13" s="18" t="s">
        <v>59</v>
      </c>
      <c r="P13" s="18" t="n">
        <v>3</v>
      </c>
    </row>
    <row r="14" customFormat="false" ht="15" hidden="false" customHeight="false" outlineLevel="0" collapsed="false">
      <c r="A14" s="14" t="s">
        <v>94</v>
      </c>
      <c r="B14" s="15" t="s">
        <v>95</v>
      </c>
      <c r="C14" s="14" t="s">
        <v>54</v>
      </c>
      <c r="D14" s="14" t="s">
        <v>55</v>
      </c>
      <c r="E14" s="14" t="s">
        <v>56</v>
      </c>
      <c r="F14" s="14" t="s">
        <v>57</v>
      </c>
      <c r="G14" s="16" t="n">
        <v>0.584722222222222</v>
      </c>
      <c r="H14" s="16" t="n">
        <v>0.591666666666667</v>
      </c>
      <c r="I14" s="17" t="n">
        <f aca="false">ROUND((H14-G14)*1440,0)</f>
        <v>10</v>
      </c>
      <c r="J14" s="14" t="n">
        <v>3</v>
      </c>
      <c r="K14" s="14"/>
      <c r="L14" s="14" t="s">
        <v>58</v>
      </c>
      <c r="M14" s="14" t="n">
        <v>24</v>
      </c>
      <c r="N14" s="14"/>
      <c r="O14" s="14" t="s">
        <v>59</v>
      </c>
      <c r="P14" s="14" t="n">
        <v>2</v>
      </c>
    </row>
    <row r="15" customFormat="false" ht="15" hidden="false" customHeight="false" outlineLevel="0" collapsed="false">
      <c r="A15" s="18" t="s">
        <v>96</v>
      </c>
      <c r="B15" s="19" t="s">
        <v>67</v>
      </c>
      <c r="C15" s="18" t="s">
        <v>68</v>
      </c>
      <c r="D15" s="18" t="s">
        <v>69</v>
      </c>
      <c r="E15" s="18" t="s">
        <v>19</v>
      </c>
      <c r="F15" s="18" t="s">
        <v>57</v>
      </c>
      <c r="G15" s="20" t="n">
        <v>0.586805555555556</v>
      </c>
      <c r="H15" s="20" t="n">
        <v>0.59375</v>
      </c>
      <c r="I15" s="21" t="n">
        <f aca="false">ROUND((H15-G15)*1440,0)</f>
        <v>10</v>
      </c>
      <c r="J15" s="18" t="n">
        <v>5</v>
      </c>
      <c r="K15" s="18" t="n">
        <v>5</v>
      </c>
      <c r="L15" s="18" t="s">
        <v>70</v>
      </c>
      <c r="M15" s="18" t="n">
        <v>12</v>
      </c>
      <c r="N15" s="18"/>
      <c r="O15" s="18" t="s">
        <v>59</v>
      </c>
      <c r="P15" s="18" t="n">
        <v>3</v>
      </c>
    </row>
    <row r="16" customFormat="false" ht="15" hidden="false" customHeight="false" outlineLevel="0" collapsed="false">
      <c r="A16" s="14" t="s">
        <v>97</v>
      </c>
      <c r="B16" s="15" t="s">
        <v>98</v>
      </c>
      <c r="C16" s="14" t="s">
        <v>62</v>
      </c>
      <c r="D16" s="14" t="s">
        <v>64</v>
      </c>
      <c r="E16" s="14" t="s">
        <v>63</v>
      </c>
      <c r="F16" s="14" t="s">
        <v>57</v>
      </c>
      <c r="G16" s="16" t="n">
        <v>0.598611111111111</v>
      </c>
      <c r="H16" s="16" t="n">
        <v>0.602083333333333</v>
      </c>
      <c r="I16" s="17" t="n">
        <f aca="false">ROUND((H16-G16)*1440,0)</f>
        <v>5</v>
      </c>
      <c r="J16" s="14" t="n">
        <v>3</v>
      </c>
      <c r="K16" s="14"/>
      <c r="L16" s="14" t="s">
        <v>58</v>
      </c>
      <c r="M16" s="14" t="n">
        <v>18</v>
      </c>
      <c r="N16" s="14"/>
      <c r="O16" s="14" t="s">
        <v>59</v>
      </c>
      <c r="P16" s="14" t="n">
        <v>3</v>
      </c>
    </row>
    <row r="17" customFormat="false" ht="15" hidden="false" customHeight="false" outlineLevel="0" collapsed="false">
      <c r="A17" s="18" t="s">
        <v>99</v>
      </c>
      <c r="B17" s="19" t="s">
        <v>100</v>
      </c>
      <c r="C17" s="18" t="s">
        <v>62</v>
      </c>
      <c r="D17" s="18" t="s">
        <v>63</v>
      </c>
      <c r="E17" s="18" t="s">
        <v>64</v>
      </c>
      <c r="F17" s="18" t="s">
        <v>65</v>
      </c>
      <c r="G17" s="20" t="n">
        <v>0.600694444444444</v>
      </c>
      <c r="H17" s="20" t="n">
        <v>0.611111111111111</v>
      </c>
      <c r="I17" s="21" t="n">
        <f aca="false">ROUND((H17-G17)*1440,0)</f>
        <v>15</v>
      </c>
      <c r="J17" s="18" t="n">
        <v>4</v>
      </c>
      <c r="K17" s="18"/>
      <c r="L17" s="18" t="s">
        <v>58</v>
      </c>
      <c r="M17" s="18" t="n">
        <v>18</v>
      </c>
      <c r="N17" s="18"/>
      <c r="O17" s="18" t="s">
        <v>59</v>
      </c>
      <c r="P17" s="18" t="n">
        <v>3</v>
      </c>
    </row>
    <row r="18" customFormat="false" ht="15" hidden="false" customHeight="false" outlineLevel="0" collapsed="false">
      <c r="A18" s="14" t="s">
        <v>101</v>
      </c>
      <c r="B18" s="15" t="s">
        <v>72</v>
      </c>
      <c r="C18" s="14" t="s">
        <v>81</v>
      </c>
      <c r="D18" s="14" t="s">
        <v>83</v>
      </c>
      <c r="E18" s="14" t="s">
        <v>82</v>
      </c>
      <c r="F18" s="14" t="s">
        <v>65</v>
      </c>
      <c r="G18" s="16" t="n">
        <v>0.604166666666667</v>
      </c>
      <c r="H18" s="16" t="n">
        <v>0.6125</v>
      </c>
      <c r="I18" s="17" t="n">
        <f aca="false">ROUND((H18-G18)*1440,0)</f>
        <v>12</v>
      </c>
      <c r="J18" s="14" t="n">
        <v>1</v>
      </c>
      <c r="K18" s="14"/>
      <c r="L18" s="14" t="s">
        <v>84</v>
      </c>
      <c r="M18" s="14" t="n">
        <v>26</v>
      </c>
      <c r="N18" s="14"/>
      <c r="O18" s="14" t="s">
        <v>59</v>
      </c>
      <c r="P18" s="14" t="n">
        <v>1</v>
      </c>
    </row>
    <row r="19" customFormat="false" ht="15" hidden="false" customHeight="false" outlineLevel="0" collapsed="false">
      <c r="A19" s="18" t="s">
        <v>102</v>
      </c>
      <c r="B19" s="19" t="s">
        <v>103</v>
      </c>
      <c r="C19" s="18" t="s">
        <v>62</v>
      </c>
      <c r="D19" s="18" t="s">
        <v>64</v>
      </c>
      <c r="E19" s="18" t="s">
        <v>63</v>
      </c>
      <c r="F19" s="18" t="s">
        <v>57</v>
      </c>
      <c r="G19" s="20" t="n">
        <v>0.607638888888889</v>
      </c>
      <c r="H19" s="20" t="n">
        <v>0.614583333333333</v>
      </c>
      <c r="I19" s="21" t="n">
        <f aca="false">ROUND((H19-G19)*1440,0)</f>
        <v>10</v>
      </c>
      <c r="J19" s="18" t="n">
        <v>2</v>
      </c>
      <c r="K19" s="18"/>
      <c r="L19" s="18" t="s">
        <v>58</v>
      </c>
      <c r="M19" s="18" t="n">
        <v>18</v>
      </c>
      <c r="N19" s="18"/>
      <c r="O19" s="18" t="s">
        <v>59</v>
      </c>
      <c r="P19" s="18" t="n">
        <v>3</v>
      </c>
    </row>
    <row r="20" customFormat="false" ht="15" hidden="false" customHeight="false" outlineLevel="0" collapsed="false">
      <c r="A20" s="14" t="s">
        <v>104</v>
      </c>
      <c r="B20" s="15" t="s">
        <v>53</v>
      </c>
      <c r="C20" s="14" t="s">
        <v>54</v>
      </c>
      <c r="D20" s="14" t="s">
        <v>55</v>
      </c>
      <c r="E20" s="14" t="s">
        <v>56</v>
      </c>
      <c r="F20" s="14" t="s">
        <v>57</v>
      </c>
      <c r="G20" s="16" t="n">
        <v>0.618055555555556</v>
      </c>
      <c r="H20" s="16" t="n">
        <v>0.626388888888889</v>
      </c>
      <c r="I20" s="17" t="n">
        <f aca="false">ROUND((H20-G20)*1440,0)</f>
        <v>12</v>
      </c>
      <c r="J20" s="14" t="n">
        <v>3</v>
      </c>
      <c r="K20" s="14"/>
      <c r="L20" s="14" t="s">
        <v>58</v>
      </c>
      <c r="M20" s="14" t="n">
        <v>24</v>
      </c>
      <c r="N20" s="14"/>
      <c r="O20" s="14" t="s">
        <v>59</v>
      </c>
      <c r="P20" s="14" t="n">
        <v>2</v>
      </c>
    </row>
    <row r="21" customFormat="false" ht="15" hidden="false" customHeight="false" outlineLevel="0" collapsed="false">
      <c r="A21" s="18" t="s">
        <v>105</v>
      </c>
      <c r="B21" s="19" t="s">
        <v>67</v>
      </c>
      <c r="C21" s="18" t="s">
        <v>68</v>
      </c>
      <c r="D21" s="18" t="s">
        <v>69</v>
      </c>
      <c r="E21" s="18" t="s">
        <v>19</v>
      </c>
      <c r="F21" s="18" t="s">
        <v>57</v>
      </c>
      <c r="G21" s="20" t="n">
        <v>0.625</v>
      </c>
      <c r="H21" s="20" t="n">
        <v>0.631944444444444</v>
      </c>
      <c r="I21" s="21" t="n">
        <f aca="false">ROUND((H21-G21)*1440,0)</f>
        <v>10</v>
      </c>
      <c r="J21" s="18" t="n">
        <v>5</v>
      </c>
      <c r="K21" s="18" t="n">
        <v>5</v>
      </c>
      <c r="L21" s="18" t="s">
        <v>70</v>
      </c>
      <c r="M21" s="18" t="n">
        <v>12</v>
      </c>
      <c r="N21" s="18"/>
      <c r="O21" s="18" t="s">
        <v>59</v>
      </c>
      <c r="P21" s="18" t="n">
        <v>3</v>
      </c>
    </row>
    <row r="22" customFormat="false" ht="15" hidden="false" customHeight="false" outlineLevel="0" collapsed="false">
      <c r="A22" s="14" t="s">
        <v>106</v>
      </c>
      <c r="B22" s="15" t="s">
        <v>86</v>
      </c>
      <c r="C22" s="14" t="s">
        <v>62</v>
      </c>
      <c r="D22" s="14" t="s">
        <v>63</v>
      </c>
      <c r="E22" s="14" t="s">
        <v>64</v>
      </c>
      <c r="F22" s="14" t="s">
        <v>65</v>
      </c>
      <c r="G22" s="16" t="n">
        <v>0.628472222222222</v>
      </c>
      <c r="H22" s="16" t="n">
        <v>0.642361111111111</v>
      </c>
      <c r="I22" s="17" t="n">
        <f aca="false">ROUND((H22-G22)*1440,0)</f>
        <v>20</v>
      </c>
      <c r="J22" s="14" t="n">
        <v>2</v>
      </c>
      <c r="K22" s="14"/>
      <c r="L22" s="14" t="s">
        <v>58</v>
      </c>
      <c r="M22" s="14" t="n">
        <v>18</v>
      </c>
      <c r="N22" s="14"/>
      <c r="O22" s="14" t="s">
        <v>59</v>
      </c>
      <c r="P22" s="14" t="n">
        <v>3</v>
      </c>
    </row>
    <row r="23" customFormat="false" ht="15" hidden="false" customHeight="false" outlineLevel="0" collapsed="false">
      <c r="A23" s="18" t="s">
        <v>107</v>
      </c>
      <c r="B23" s="19" t="s">
        <v>80</v>
      </c>
      <c r="C23" s="18" t="s">
        <v>81</v>
      </c>
      <c r="D23" s="18" t="s">
        <v>83</v>
      </c>
      <c r="E23" s="18" t="s">
        <v>82</v>
      </c>
      <c r="F23" s="18" t="s">
        <v>65</v>
      </c>
      <c r="G23" s="20" t="n">
        <v>0.635416666666667</v>
      </c>
      <c r="H23" s="20" t="n">
        <v>0.644444444444445</v>
      </c>
      <c r="I23" s="21" t="n">
        <f aca="false">ROUND((H23-G23)*1440,0)</f>
        <v>13</v>
      </c>
      <c r="J23" s="18" t="n">
        <v>1</v>
      </c>
      <c r="K23" s="18"/>
      <c r="L23" s="18" t="s">
        <v>84</v>
      </c>
      <c r="M23" s="18" t="n">
        <v>26</v>
      </c>
      <c r="N23" s="18"/>
      <c r="O23" s="18" t="s">
        <v>59</v>
      </c>
      <c r="P23" s="18" t="n">
        <v>1</v>
      </c>
    </row>
    <row r="24" customFormat="false" ht="15" hidden="false" customHeight="false" outlineLevel="0" collapsed="false">
      <c r="A24" s="14" t="s">
        <v>108</v>
      </c>
      <c r="B24" s="15" t="s">
        <v>100</v>
      </c>
      <c r="C24" s="14" t="s">
        <v>62</v>
      </c>
      <c r="D24" s="14" t="s">
        <v>63</v>
      </c>
      <c r="E24" s="14" t="s">
        <v>64</v>
      </c>
      <c r="F24" s="14" t="s">
        <v>65</v>
      </c>
      <c r="G24" s="16" t="n">
        <v>0.635416666666667</v>
      </c>
      <c r="H24" s="16" t="n">
        <v>0.645833333333333</v>
      </c>
      <c r="I24" s="17" t="n">
        <f aca="false">ROUND((H24-G24)*1440,0)</f>
        <v>15</v>
      </c>
      <c r="J24" s="14" t="n">
        <v>4</v>
      </c>
      <c r="K24" s="14"/>
      <c r="L24" s="14" t="s">
        <v>58</v>
      </c>
      <c r="M24" s="14" t="n">
        <v>18</v>
      </c>
      <c r="N24" s="14"/>
      <c r="O24" s="14" t="s">
        <v>59</v>
      </c>
      <c r="P24" s="14" t="n">
        <v>3</v>
      </c>
    </row>
    <row r="25" customFormat="false" ht="15" hidden="false" customHeight="false" outlineLevel="0" collapsed="false">
      <c r="A25" s="18" t="s">
        <v>109</v>
      </c>
      <c r="B25" s="19" t="s">
        <v>89</v>
      </c>
      <c r="C25" s="18" t="s">
        <v>54</v>
      </c>
      <c r="D25" s="18" t="s">
        <v>55</v>
      </c>
      <c r="E25" s="18" t="s">
        <v>56</v>
      </c>
      <c r="F25" s="18" t="s">
        <v>57</v>
      </c>
      <c r="G25" s="20" t="n">
        <v>0.652777777777778</v>
      </c>
      <c r="H25" s="20" t="n">
        <v>0.661111111111111</v>
      </c>
      <c r="I25" s="21" t="n">
        <f aca="false">ROUND((H25-G25)*1440,0)</f>
        <v>12</v>
      </c>
      <c r="J25" s="18" t="n">
        <v>3</v>
      </c>
      <c r="K25" s="18"/>
      <c r="L25" s="18" t="s">
        <v>58</v>
      </c>
      <c r="M25" s="18" t="n">
        <v>24</v>
      </c>
      <c r="N25" s="18"/>
      <c r="O25" s="18" t="s">
        <v>59</v>
      </c>
      <c r="P25" s="18" t="n">
        <v>2</v>
      </c>
    </row>
    <row r="26" customFormat="false" ht="15" hidden="false" customHeight="false" outlineLevel="0" collapsed="false">
      <c r="A26" s="14" t="s">
        <v>110</v>
      </c>
      <c r="B26" s="15" t="s">
        <v>92</v>
      </c>
      <c r="C26" s="14" t="s">
        <v>81</v>
      </c>
      <c r="D26" s="14" t="s">
        <v>82</v>
      </c>
      <c r="E26" s="14" t="s">
        <v>83</v>
      </c>
      <c r="F26" s="14" t="s">
        <v>57</v>
      </c>
      <c r="G26" s="16" t="n">
        <v>0.670138888888889</v>
      </c>
      <c r="H26" s="16" t="n">
        <v>0.678472222222222</v>
      </c>
      <c r="I26" s="17" t="n">
        <f aca="false">ROUND((H26-G26)*1440,0)</f>
        <v>12</v>
      </c>
      <c r="J26" s="14" t="n">
        <v>1</v>
      </c>
      <c r="K26" s="14"/>
      <c r="L26" s="14" t="s">
        <v>84</v>
      </c>
      <c r="M26" s="14" t="n">
        <v>26</v>
      </c>
      <c r="N26" s="14"/>
      <c r="O26" s="14" t="s">
        <v>59</v>
      </c>
      <c r="P26" s="14" t="n">
        <v>1</v>
      </c>
    </row>
    <row r="27" customFormat="false" ht="15" hidden="false" customHeight="false" outlineLevel="0" collapsed="false">
      <c r="A27" s="18" t="s">
        <v>111</v>
      </c>
      <c r="B27" s="19" t="s">
        <v>98</v>
      </c>
      <c r="C27" s="18" t="s">
        <v>62</v>
      </c>
      <c r="D27" s="18" t="s">
        <v>63</v>
      </c>
      <c r="E27" s="18" t="s">
        <v>64</v>
      </c>
      <c r="F27" s="18" t="s">
        <v>65</v>
      </c>
      <c r="G27" s="20" t="n">
        <v>0.673611111111111</v>
      </c>
      <c r="H27" s="20" t="n">
        <v>0.6875</v>
      </c>
      <c r="I27" s="21" t="n">
        <f aca="false">ROUND((H27-G27)*1440,0)</f>
        <v>20</v>
      </c>
      <c r="J27" s="18" t="n">
        <v>2</v>
      </c>
      <c r="K27" s="18"/>
      <c r="L27" s="18" t="s">
        <v>58</v>
      </c>
      <c r="M27" s="18" t="n">
        <v>18</v>
      </c>
      <c r="N27" s="18"/>
      <c r="O27" s="18" t="s">
        <v>59</v>
      </c>
      <c r="P27" s="18" t="n">
        <v>3</v>
      </c>
    </row>
    <row r="28" customFormat="false" ht="15" hidden="false" customHeight="false" outlineLevel="0" collapsed="false">
      <c r="A28" s="14" t="s">
        <v>112</v>
      </c>
      <c r="B28" s="15" t="s">
        <v>67</v>
      </c>
      <c r="C28" s="14" t="s">
        <v>68</v>
      </c>
      <c r="D28" s="14" t="s">
        <v>69</v>
      </c>
      <c r="E28" s="14" t="s">
        <v>19</v>
      </c>
      <c r="F28" s="14" t="s">
        <v>57</v>
      </c>
      <c r="G28" s="16" t="n">
        <v>0.677083333333333</v>
      </c>
      <c r="H28" s="16" t="n">
        <v>0.684027777777778</v>
      </c>
      <c r="I28" s="17" t="n">
        <f aca="false">ROUND((H28-G28)*1440,0)</f>
        <v>10</v>
      </c>
      <c r="J28" s="14" t="n">
        <v>5</v>
      </c>
      <c r="K28" s="14" t="n">
        <v>5</v>
      </c>
      <c r="L28" s="14" t="s">
        <v>70</v>
      </c>
      <c r="M28" s="14" t="n">
        <v>12</v>
      </c>
      <c r="N28" s="14"/>
      <c r="O28" s="14" t="s">
        <v>59</v>
      </c>
      <c r="P28" s="14" t="n">
        <v>3</v>
      </c>
    </row>
    <row r="29" customFormat="false" ht="15" hidden="false" customHeight="false" outlineLevel="0" collapsed="false">
      <c r="A29" s="18" t="s">
        <v>113</v>
      </c>
      <c r="B29" s="19" t="s">
        <v>95</v>
      </c>
      <c r="C29" s="18" t="s">
        <v>54</v>
      </c>
      <c r="D29" s="18" t="s">
        <v>56</v>
      </c>
      <c r="E29" s="18" t="s">
        <v>55</v>
      </c>
      <c r="F29" s="18" t="s">
        <v>65</v>
      </c>
      <c r="G29" s="20" t="n">
        <v>0.690972222222222</v>
      </c>
      <c r="H29" s="20" t="n">
        <v>0.699305555555556</v>
      </c>
      <c r="I29" s="21" t="n">
        <f aca="false">ROUND((H29-G29)*1440,0)</f>
        <v>12</v>
      </c>
      <c r="J29" s="18" t="n">
        <v>3</v>
      </c>
      <c r="K29" s="18"/>
      <c r="L29" s="18" t="s">
        <v>58</v>
      </c>
      <c r="M29" s="18" t="n">
        <v>24</v>
      </c>
      <c r="N29" s="18"/>
      <c r="O29" s="18" t="s">
        <v>59</v>
      </c>
      <c r="P29" s="18" t="n">
        <v>2</v>
      </c>
    </row>
    <row r="30" customFormat="false" ht="15" hidden="false" customHeight="false" outlineLevel="0" collapsed="false">
      <c r="A30" s="14" t="s">
        <v>114</v>
      </c>
      <c r="B30" s="15" t="s">
        <v>74</v>
      </c>
      <c r="C30" s="14" t="s">
        <v>75</v>
      </c>
      <c r="D30" s="14" t="s">
        <v>76</v>
      </c>
      <c r="E30" s="14" t="s">
        <v>77</v>
      </c>
      <c r="F30" s="14" t="s">
        <v>57</v>
      </c>
      <c r="G30" s="16" t="n">
        <v>0.694444444444444</v>
      </c>
      <c r="H30" s="16" t="n">
        <v>0.704861111111111</v>
      </c>
      <c r="I30" s="17" t="n">
        <f aca="false">ROUND((H30-G30)*1440,0)</f>
        <v>15</v>
      </c>
      <c r="J30" s="14" t="n">
        <v>4</v>
      </c>
      <c r="K30" s="14"/>
      <c r="L30" s="14" t="s">
        <v>78</v>
      </c>
      <c r="M30" s="14"/>
      <c r="N30" s="14" t="n">
        <v>58</v>
      </c>
      <c r="O30" s="14" t="s">
        <v>59</v>
      </c>
      <c r="P30" s="14" t="n">
        <v>4</v>
      </c>
    </row>
    <row r="31" customFormat="false" ht="15" hidden="false" customHeight="false" outlineLevel="0" collapsed="false">
      <c r="A31" s="18" t="s">
        <v>115</v>
      </c>
      <c r="B31" s="19" t="s">
        <v>67</v>
      </c>
      <c r="C31" s="18" t="s">
        <v>68</v>
      </c>
      <c r="D31" s="18" t="s">
        <v>69</v>
      </c>
      <c r="E31" s="18" t="s">
        <v>19</v>
      </c>
      <c r="F31" s="18" t="s">
        <v>57</v>
      </c>
      <c r="G31" s="20" t="n">
        <v>0.697916666666667</v>
      </c>
      <c r="H31" s="20" t="n">
        <v>0.704861111111111</v>
      </c>
      <c r="I31" s="21" t="n">
        <f aca="false">ROUND((H31-G31)*1440,0)</f>
        <v>10</v>
      </c>
      <c r="J31" s="18" t="n">
        <v>5</v>
      </c>
      <c r="K31" s="18" t="n">
        <v>5</v>
      </c>
      <c r="L31" s="18" t="s">
        <v>70</v>
      </c>
      <c r="M31" s="18" t="n">
        <v>12</v>
      </c>
      <c r="N31" s="18"/>
      <c r="O31" s="18" t="s">
        <v>59</v>
      </c>
      <c r="P31" s="18" t="n">
        <v>3</v>
      </c>
    </row>
    <row r="33" customFormat="false" ht="15" hidden="false" customHeight="false" outlineLevel="0" collapsed="false">
      <c r="A33" s="8" t="s">
        <v>116</v>
      </c>
      <c r="C33" s="22" t="n">
        <f aca="false">COUNTA(A2:A31)</f>
        <v>30</v>
      </c>
    </row>
    <row r="34" customFormat="false" ht="15" hidden="false" customHeight="false" outlineLevel="0" collapsed="false">
      <c r="A34" s="8" t="s">
        <v>117</v>
      </c>
      <c r="C34" s="22" t="n">
        <f aca="false">MIN(I2:I31)</f>
        <v>5</v>
      </c>
    </row>
    <row r="35" customFormat="false" ht="15" hidden="false" customHeight="false" outlineLevel="0" collapsed="false">
      <c r="A35" s="8" t="s">
        <v>118</v>
      </c>
      <c r="C35" s="22" t="n">
        <f aca="false">MAX(I2:I31)</f>
        <v>20</v>
      </c>
    </row>
    <row r="36" customFormat="false" ht="15" hidden="false" customHeight="false" outlineLevel="0" collapsed="false">
      <c r="A36" s="8" t="s">
        <v>119</v>
      </c>
      <c r="C36" s="22" t="n">
        <f aca="false">COUNTIF(C2:C31,"SF")</f>
        <v>4</v>
      </c>
    </row>
    <row r="37" customFormat="false" ht="15" hidden="false" customHeight="false" outlineLevel="0" collapsed="false">
      <c r="A37" s="8" t="s">
        <v>120</v>
      </c>
      <c r="C37" s="22" t="n">
        <f aca="false">COUNTIF(C2:C31,"MEX")</f>
        <v>8</v>
      </c>
    </row>
    <row r="38" customFormat="false" ht="15" hidden="false" customHeight="false" outlineLevel="0" collapsed="false">
      <c r="A38" s="8" t="s">
        <v>121</v>
      </c>
      <c r="C38" s="22" t="n">
        <f aca="false">COUNTIF(C2:C31,"PAS")</f>
        <v>9</v>
      </c>
    </row>
    <row r="39" customFormat="false" ht="15" hidden="false" customHeight="false" outlineLevel="0" collapsed="false">
      <c r="A39" s="8" t="s">
        <v>68</v>
      </c>
      <c r="C39" s="22" t="n">
        <f aca="false">COUNTIF(C2:C31,"MEMU")</f>
        <v>7</v>
      </c>
    </row>
    <row r="40" customFormat="false" ht="15" hidden="false" customHeight="false" outlineLevel="0" collapsed="false">
      <c r="A40" s="8" t="s">
        <v>122</v>
      </c>
      <c r="C40" s="22" t="n">
        <f aca="false">COUNTIF(C2:C31,"GDS")</f>
        <v>2</v>
      </c>
    </row>
  </sheetData>
  <dataValidations count="5">
    <dataValidation allowBlank="true" errorStyle="stop" operator="between" showDropDown="false" showErrorMessage="false" showInputMessage="false" sqref="J2:K31" type="whole">
      <formula1>1</formula1>
      <formula2>5</formula2>
    </dataValidation>
    <dataValidation allowBlank="false" errorStyle="stop" operator="between" showDropDown="false" showErrorMessage="false" showInputMessage="false" sqref="P2:P31" type="whole">
      <formula1>1</formula1>
      <formula2>4</formula2>
    </dataValidation>
    <dataValidation allowBlank="false" errorStyle="stop" operator="between" showDropDown="false" showErrorMessage="false" showInputMessage="false" sqref="G2:H31" type="time">
      <formula1>0</formula1>
      <formula2>0.999305555</formula2>
    </dataValidation>
    <dataValidation allowBlank="false" errorStyle="stop" operator="between" showDropDown="false" showErrorMessage="false" showInputMessage="false" sqref="C2:C31" type="list">
      <formula1>"SF,MEX,PAS,MEMU,GDS"</formula1>
      <formula2>0</formula2>
    </dataValidation>
    <dataValidation allowBlank="false" errorStyle="stop" operator="between" showDropDown="false" showErrorMessage="false" showInputMessage="false" sqref="F2:F31" type="list">
      <formula1>"UP,DN"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5"/>
    <col collapsed="false" customWidth="true" hidden="false" outlineLevel="0" max="4" min="3" style="0" width="12"/>
    <col collapsed="false" customWidth="true" hidden="false" outlineLevel="0" max="8" min="5" style="0" width="10"/>
    <col collapsed="false" customWidth="true" hidden="false" outlineLevel="0" max="9" min="9" style="0" width="11"/>
    <col collapsed="false" customWidth="true" hidden="false" outlineLevel="0" max="11" min="10" style="0" width="13"/>
    <col collapsed="false" customWidth="true" hidden="false" outlineLevel="0" max="12" min="12" style="0" width="15"/>
    <col collapsed="false" customWidth="true" hidden="false" outlineLevel="0" max="13" min="13" style="0" width="62"/>
  </cols>
  <sheetData>
    <row r="1" customFormat="false" ht="17.35" hidden="false" customHeight="false" outlineLevel="0" collapsed="false">
      <c r="A1" s="7" t="s">
        <v>123</v>
      </c>
    </row>
    <row r="2" customFormat="false" ht="15" hidden="false" customHeight="false" outlineLevel="0" collapsed="false">
      <c r="A2" s="23" t="s">
        <v>124</v>
      </c>
    </row>
    <row r="3" customFormat="false" ht="15" hidden="false" customHeight="false" outlineLevel="0" collapsed="false">
      <c r="A3" s="23" t="s">
        <v>125</v>
      </c>
    </row>
    <row r="5" customFormat="false" ht="31.5" hidden="false" customHeight="true" outlineLevel="0" collapsed="false">
      <c r="A5" s="11" t="s">
        <v>126</v>
      </c>
      <c r="B5" s="11" t="s">
        <v>22</v>
      </c>
      <c r="C5" s="11" t="s">
        <v>127</v>
      </c>
      <c r="D5" s="11" t="s">
        <v>128</v>
      </c>
      <c r="E5" s="11" t="s">
        <v>129</v>
      </c>
      <c r="F5" s="11" t="s">
        <v>130</v>
      </c>
      <c r="G5" s="11" t="s">
        <v>131</v>
      </c>
      <c r="H5" s="11" t="s">
        <v>132</v>
      </c>
      <c r="I5" s="11" t="s">
        <v>133</v>
      </c>
      <c r="J5" s="11" t="s">
        <v>134</v>
      </c>
      <c r="K5" s="11" t="s">
        <v>135</v>
      </c>
      <c r="L5" s="11" t="s">
        <v>136</v>
      </c>
      <c r="M5" s="11" t="s">
        <v>137</v>
      </c>
    </row>
    <row r="6" customFormat="false" ht="15" hidden="false" customHeight="false" outlineLevel="0" collapsed="false">
      <c r="A6" s="13" t="s">
        <v>138</v>
      </c>
      <c r="B6" s="13" t="n">
        <v>1</v>
      </c>
      <c r="C6" s="13" t="s">
        <v>88</v>
      </c>
      <c r="D6" s="13" t="s">
        <v>91</v>
      </c>
      <c r="E6" s="24" t="n">
        <f aca="false">INDEX('Timetable as scheduled'!$G$2:$G$31,MATCH(C6,'Timetable as scheduled'!$A$2:$A$31,0))</f>
        <v>0.569444444444444</v>
      </c>
      <c r="F6" s="24" t="n">
        <f aca="false">INDEX('Timetable as scheduled'!$H$2:$H$31,MATCH(C6,'Timetable as scheduled'!$A$2:$A$31,0))</f>
        <v>0.579861111111111</v>
      </c>
      <c r="G6" s="24" t="n">
        <f aca="false">INDEX('Timetable as scheduled'!$G$2:$G$31,MATCH(D6,'Timetable as scheduled'!$A$2:$A$31,0))</f>
        <v>0.581944444444445</v>
      </c>
      <c r="H6" s="24" t="n">
        <f aca="false">INDEX('Timetable as scheduled'!$H$2:$H$31,MATCH(D6,'Timetable as scheduled'!$A$2:$A$31,0))</f>
        <v>0.588888888888889</v>
      </c>
      <c r="I6" s="13" t="n">
        <f aca="false">MinClearance</f>
        <v>5</v>
      </c>
      <c r="J6" s="13" t="n">
        <f aca="false">ROUND(MAX(0,MIN(F6,H6)-G6)*1440,0)</f>
        <v>0</v>
      </c>
      <c r="K6" s="13" t="n">
        <f aca="false">IF(G6&gt;=F6,ROUND((F6+I6/1440-G6)*1440,0),"—")</f>
        <v>2</v>
      </c>
      <c r="L6" s="13" t="n">
        <f aca="false">ROUND((MIN(F6,H6)+I6/1440-G6)*1440,0)</f>
        <v>2</v>
      </c>
      <c r="M6" s="13" t="str">
        <f aca="false">A6&amp;" · PF "&amp;B6&amp;" · "&amp;C6&amp;" ↔ "&amp;D6&amp;IF(J6&gt;0," · stays overlap "&amp;J6&amp;" min"," · clearance short by "&amp;K6&amp;" min")&amp;" · reserved overlap "&amp;L6&amp;" min"</f>
        <v>GAP_VIOLATION · PF 1 · 11214 ↔ 11216 · clearance short by 2 min · reserved overlap 2 min</v>
      </c>
    </row>
    <row r="7" customFormat="false" ht="15" hidden="false" customHeight="false" outlineLevel="0" collapsed="false">
      <c r="A7" s="13" t="s">
        <v>138</v>
      </c>
      <c r="B7" s="13" t="n">
        <v>2</v>
      </c>
      <c r="C7" s="13" t="s">
        <v>93</v>
      </c>
      <c r="D7" s="13" t="s">
        <v>97</v>
      </c>
      <c r="E7" s="24" t="n">
        <f aca="false">INDEX('Timetable as scheduled'!$G$2:$G$31,MATCH(C7,'Timetable as scheduled'!$A$2:$A$31,0))</f>
        <v>0.583333333333333</v>
      </c>
      <c r="F7" s="24" t="n">
        <f aca="false">INDEX('Timetable as scheduled'!$H$2:$H$31,MATCH(C7,'Timetable as scheduled'!$A$2:$A$31,0))</f>
        <v>0.597222222222222</v>
      </c>
      <c r="G7" s="24" t="n">
        <f aca="false">INDEX('Timetable as scheduled'!$G$2:$G$31,MATCH(D7,'Timetable as scheduled'!$A$2:$A$31,0))</f>
        <v>0.598611111111111</v>
      </c>
      <c r="H7" s="24" t="n">
        <f aca="false">INDEX('Timetable as scheduled'!$H$2:$H$31,MATCH(D7,'Timetable as scheduled'!$A$2:$A$31,0))</f>
        <v>0.602083333333333</v>
      </c>
      <c r="I7" s="13" t="n">
        <f aca="false">MinClearance</f>
        <v>5</v>
      </c>
      <c r="J7" s="13" t="n">
        <f aca="false">ROUND(MAX(0,MIN(F7,H7)-G7)*1440,0)</f>
        <v>0</v>
      </c>
      <c r="K7" s="13" t="n">
        <f aca="false">IF(G7&gt;=F7,ROUND((F7+I7/1440-G7)*1440,0),"—")</f>
        <v>3</v>
      </c>
      <c r="L7" s="13" t="n">
        <f aca="false">ROUND((MIN(F7,H7)+I7/1440-G7)*1440,0)</f>
        <v>3</v>
      </c>
      <c r="M7" s="13" t="str">
        <f aca="false">A7&amp;" · PF "&amp;B7&amp;" · "&amp;C7&amp;" ↔ "&amp;D7&amp;IF(J7&gt;0," · stays overlap "&amp;J7&amp;" min"," · clearance short by "&amp;K7&amp;" min")&amp;" · reserved overlap "&amp;L7&amp;" min"</f>
        <v>GAP_VIOLATION · PF 2 · 51218 ↔ 51219 · clearance short by 3 min · reserved overlap 3 min</v>
      </c>
    </row>
    <row r="8" customFormat="false" ht="15" hidden="false" customHeight="false" outlineLevel="0" collapsed="false">
      <c r="A8" s="13" t="s">
        <v>139</v>
      </c>
      <c r="B8" s="13" t="n">
        <v>4</v>
      </c>
      <c r="C8" s="13" t="s">
        <v>99</v>
      </c>
      <c r="D8" s="13" t="s">
        <v>102</v>
      </c>
      <c r="E8" s="24" t="n">
        <f aca="false">INDEX('Timetable as scheduled'!$G$2:$G$31,MATCH(C8,'Timetable as scheduled'!$A$2:$A$31,0))</f>
        <v>0.600694444444444</v>
      </c>
      <c r="F8" s="24" t="n">
        <f aca="false">INDEX('Timetable as scheduled'!$H$2:$H$31,MATCH(C8,'Timetable as scheduled'!$A$2:$A$31,0))</f>
        <v>0.611111111111111</v>
      </c>
      <c r="G8" s="24" t="n">
        <f aca="false">INDEX('Timetable as scheduled'!$G$2:$G$31,MATCH(D8,'Timetable as scheduled'!$A$2:$A$31,0))</f>
        <v>0.607638888888889</v>
      </c>
      <c r="H8" s="24" t="n">
        <f aca="false">INDEX('Timetable as scheduled'!$H$2:$H$31,MATCH(D8,'Timetable as scheduled'!$A$2:$A$31,0))</f>
        <v>0.614583333333333</v>
      </c>
      <c r="I8" s="13" t="n">
        <f aca="false">MinClearance</f>
        <v>5</v>
      </c>
      <c r="J8" s="13" t="n">
        <f aca="false">ROUND(MAX(0,MIN(F8,H8)-G8)*1440,0)</f>
        <v>5</v>
      </c>
      <c r="K8" s="13" t="str">
        <f aca="false">IF(G8&gt;=F8,ROUND((F8+I8/1440-G8)*1440,0),"—")</f>
        <v>—</v>
      </c>
      <c r="L8" s="13" t="n">
        <f aca="false">ROUND((MIN(F8,H8)+I8/1440-G8)*1440,0)</f>
        <v>10</v>
      </c>
      <c r="M8" s="13" t="str">
        <f aca="false">A8&amp;" · PF "&amp;B8&amp;" · "&amp;C8&amp;" ↔ "&amp;D8&amp;IF(J8&gt;0," · stays overlap "&amp;J8&amp;" min"," · clearance short by "&amp;K8&amp;" min")&amp;" · reserved overlap "&amp;L8&amp;" min"</f>
        <v>OVERLAP · PF 4 · 51214 ↔ 51215 · stays overlap 5 min · reserved overlap 10 min</v>
      </c>
    </row>
    <row r="10" customFormat="false" ht="15" hidden="false" customHeight="false" outlineLevel="0" collapsed="false">
      <c r="A10" s="8" t="s">
        <v>140</v>
      </c>
      <c r="L10" s="22" t="n">
        <f aca="false">COUNT(L6:L8)</f>
        <v>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2"/>
    <col collapsed="false" customWidth="true" hidden="false" outlineLevel="0" max="4" min="3" style="0" width="72"/>
  </cols>
  <sheetData>
    <row r="1" customFormat="false" ht="31.5" hidden="false" customHeight="true" outlineLevel="0" collapsed="false">
      <c r="A1" s="11" t="s">
        <v>141</v>
      </c>
      <c r="B1" s="11" t="s">
        <v>142</v>
      </c>
      <c r="C1" s="11" t="s">
        <v>143</v>
      </c>
      <c r="D1" s="11" t="s">
        <v>144</v>
      </c>
    </row>
    <row r="2" customFormat="false" ht="15" hidden="false" customHeight="false" outlineLevel="0" collapsed="false">
      <c r="A2" s="25" t="s">
        <v>145</v>
      </c>
      <c r="B2" s="25" t="s">
        <v>146</v>
      </c>
      <c r="C2" s="25" t="s">
        <v>147</v>
      </c>
      <c r="D2" s="25" t="s">
        <v>148</v>
      </c>
    </row>
    <row r="3" customFormat="false" ht="26.85" hidden="false" customHeight="false" outlineLevel="0" collapsed="false">
      <c r="A3" s="25" t="s">
        <v>149</v>
      </c>
      <c r="B3" s="25" t="s">
        <v>150</v>
      </c>
      <c r="C3" s="25" t="s">
        <v>151</v>
      </c>
      <c r="D3" s="25" t="s">
        <v>152</v>
      </c>
    </row>
    <row r="4" customFormat="false" ht="52.2" hidden="false" customHeight="false" outlineLevel="0" collapsed="false">
      <c r="A4" s="25" t="s">
        <v>153</v>
      </c>
      <c r="B4" s="25" t="s">
        <v>154</v>
      </c>
      <c r="C4" s="25" t="s">
        <v>155</v>
      </c>
      <c r="D4" s="25" t="s">
        <v>156</v>
      </c>
    </row>
    <row r="5" customFormat="false" ht="15" hidden="false" customHeight="false" outlineLevel="0" collapsed="false">
      <c r="A5" s="25" t="s">
        <v>78</v>
      </c>
      <c r="B5" s="25" t="s">
        <v>157</v>
      </c>
      <c r="C5" s="25" t="s">
        <v>158</v>
      </c>
      <c r="D5" s="25" t="s">
        <v>159</v>
      </c>
    </row>
    <row r="6" customFormat="false" ht="15" hidden="false" customHeight="false" outlineLevel="0" collapsed="false">
      <c r="A6" s="25" t="s">
        <v>70</v>
      </c>
      <c r="B6" s="25" t="s">
        <v>160</v>
      </c>
      <c r="C6" s="25" t="s">
        <v>161</v>
      </c>
      <c r="D6" s="25" t="s">
        <v>162</v>
      </c>
    </row>
    <row r="7" customFormat="false" ht="15" hidden="false" customHeight="false" outlineLevel="0" collapsed="false">
      <c r="A7" s="25" t="s">
        <v>163</v>
      </c>
      <c r="B7" s="25" t="s">
        <v>164</v>
      </c>
      <c r="C7" s="25" t="s">
        <v>165</v>
      </c>
      <c r="D7" s="25" t="s">
        <v>166</v>
      </c>
    </row>
    <row r="8" customFormat="false" ht="15" hidden="false" customHeight="false" outlineLevel="0" collapsed="false">
      <c r="A8" s="25" t="s">
        <v>167</v>
      </c>
      <c r="B8" s="25" t="s">
        <v>168</v>
      </c>
      <c r="C8" s="25" t="s">
        <v>169</v>
      </c>
      <c r="D8" s="25" t="s">
        <v>170</v>
      </c>
    </row>
    <row r="9" customFormat="false" ht="39.55" hidden="false" customHeight="false" outlineLevel="0" collapsed="false">
      <c r="A9" s="25" t="s">
        <v>171</v>
      </c>
      <c r="B9" s="25" t="s">
        <v>172</v>
      </c>
      <c r="C9" s="25" t="s">
        <v>173</v>
      </c>
      <c r="D9" s="25" t="s">
        <v>174</v>
      </c>
    </row>
    <row r="10" customFormat="false" ht="39.55" hidden="false" customHeight="false" outlineLevel="0" collapsed="false">
      <c r="A10" s="25" t="s">
        <v>175</v>
      </c>
      <c r="B10" s="25" t="s">
        <v>176</v>
      </c>
      <c r="C10" s="25" t="s">
        <v>177</v>
      </c>
      <c r="D10" s="25" t="s">
        <v>178</v>
      </c>
    </row>
    <row r="11" customFormat="false" ht="26.85" hidden="false" customHeight="false" outlineLevel="0" collapsed="false">
      <c r="A11" s="25" t="s">
        <v>175</v>
      </c>
      <c r="B11" s="25" t="s">
        <v>179</v>
      </c>
      <c r="C11" s="25" t="s">
        <v>180</v>
      </c>
      <c r="D11" s="25" t="s">
        <v>181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2026-10-11T06:48:01Z</dcterms:created>
  <dc:creator>openpyxl</dc:creator>
  <dc:description/>
  <dc:language>en-US</dc:language>
  <cp:lastModifiedBy/>
  <dcterms:modified xsi:type="dcterms:W3CDTF">2026-10-11T06:48:01Z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